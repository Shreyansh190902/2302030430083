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NSE Holidays" sheetId="2" state="visible" r:id="rId4"/>
    <sheet name="How to Use" sheetId="3" state="visible" r:id="rId5"/>
  </sheets>
  <definedNames>
    <definedName function="false" hidden="false" localSheetId="0" name="_xlnm.Print_Titles" vbProcedure="false">Tracker!$12:$12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Provided by you: start today (Tue 6 Oct 2026). If this is a weekend or NSE holiday, Day 1 moves to the next trading day. Weekends (and listed NSE holidays) get no rows.</t>
        </r>
      </text>
    </comment>
    <comment ref="C6" authorId="0">
      <text>
        <r>
          <rPr>
            <sz val="10"/>
            <rFont val="Arial"/>
            <family val="2"/>
          </rPr>
          <t xml:space="preserve">Provided by you: ₹14,500.</t>
        </r>
      </text>
    </comment>
    <comment ref="C7" authorId="0">
      <text>
        <r>
          <rPr>
            <sz val="10"/>
            <rFont val="Arial"/>
            <family val="2"/>
          </rPr>
          <t xml:space="preserve">Provided by you: ₹1,00,000.</t>
        </r>
      </text>
    </comment>
    <comment ref="C8" authorId="0">
      <text>
        <r>
          <rPr>
            <sz val="10"/>
            <rFont val="Arial"/>
            <family val="2"/>
          </rPr>
          <t xml:space="preserve">Provided by you: 20% of each day's opening capital.</t>
        </r>
      </text>
    </comment>
    <comment ref="C9" authorId="0">
      <text>
        <r>
          <rPr>
            <sz val="10"/>
            <rFont val="Arial"/>
            <family val="2"/>
          </rPr>
          <t xml:space="preserve">Provided by you: 10% of each day's opening capital.</t>
        </r>
      </text>
    </comment>
    <comment ref="H12" authorId="0">
      <text>
        <r>
          <rPr>
            <sz val="10"/>
            <rFont val="Arial"/>
            <family val="2"/>
          </rPr>
          <t xml:space="preserve">Type your account balance at the end of the day. Profit/Loss = closing balance − opening capital is calculated for you. No trade → type the same balance as the opening capital. Leave blank for future days.</t>
        </r>
      </text>
    </comment>
  </commentList>
</comments>
</file>

<file path=xl/sharedStrings.xml><?xml version="1.0" encoding="utf-8"?>
<sst xmlns="http://schemas.openxmlformats.org/spreadsheetml/2006/main" count="77" uniqueCount="75">
  <si>
    <t xml:space="preserve">Important: rows marked "Projection" assume every daily profit target is met. They are illustrations only — not a forecast or a guarantee. Real trading can and does produce losses.</t>
  </si>
  <si>
    <t xml:space="preserve">SETTINGS  (yellow cells are editable)</t>
  </si>
  <si>
    <t xml:space="preserve">SUMMARY  (all calculated)</t>
  </si>
  <si>
    <t xml:space="preserve">Start trading from</t>
  </si>
  <si>
    <t xml:space="preserve">Current balance</t>
  </si>
  <si>
    <t xml:space="preserve">Progress to goal</t>
  </si>
  <si>
    <t xml:space="preserve">Starting capital</t>
  </si>
  <si>
    <t xml:space="preserve">Amount remaining to goal</t>
  </si>
  <si>
    <t xml:space="preserve">Last day with Closing Balance</t>
  </si>
  <si>
    <t xml:space="preserve">Goal</t>
  </si>
  <si>
    <t xml:space="preserve">Next profit target</t>
  </si>
  <si>
    <t xml:space="preserve">Days completed (Done ✔)</t>
  </si>
  <si>
    <t xml:space="preserve">Daily profit target %</t>
  </si>
  <si>
    <t xml:space="preserve">Next loss limit</t>
  </si>
  <si>
    <t xml:space="preserve">Days left if every target is met*</t>
  </si>
  <si>
    <t xml:space="preserve">Daily loss limit %</t>
  </si>
  <si>
    <t xml:space="preserve">Projected goal date*</t>
  </si>
  <si>
    <t xml:space="preserve">Today's profit / loss</t>
  </si>
  <si>
    <t xml:space="preserve">Today's % change</t>
  </si>
  <si>
    <t xml:space="preserve">Rows = NSE trading days only (weekends and holidays on the 'NSE Holidays' sheet are skipped).  Legend:  Yellow cells with blue text = your inputs (Settings, Closing Balance, Done?, Notes). Profit/Loss is calculated automatically.  All other cells are formulas — don't overwrite them.  Grey italic rows = Projection (target assumed met), white rows = Actual.   *Projection-based figures.</t>
  </si>
  <si>
    <t xml:space="preserve">Day</t>
  </si>
  <si>
    <t xml:space="preserve">Date</t>
  </si>
  <si>
    <t xml:space="preserve">Opening Capital</t>
  </si>
  <si>
    <t xml:space="preserve">Balance if Target Met</t>
  </si>
  <si>
    <t xml:space="preserve">Profit / Loss
(auto)</t>
  </si>
  <si>
    <t xml:space="preserve">Closing Balance
(enter)</t>
  </si>
  <si>
    <t xml:space="preserve">Status</t>
  </si>
  <si>
    <t xml:space="preserve">Done?
(pick ✔)</t>
  </si>
  <si>
    <t xml:space="preserve">Notes
(optional)</t>
  </si>
  <si>
    <t xml:space="preserve">NSE Trading Holidays (Equity segment)</t>
  </si>
  <si>
    <t xml:space="preserve">Weekday market holidays only (weekends are skipped anyway). Source: NSE circular CMTR71775 (12-Dec-2025) as reported by news/broker sites — confirm at nseindia.com &gt; Market Timings &amp; Holidays. Yellow cells are editable: add 2027 holidays in the empty rows when NSE publishes them.</t>
  </si>
  <si>
    <t xml:space="preserve">Holiday</t>
  </si>
  <si>
    <t xml:space="preserve">Note</t>
  </si>
  <si>
    <t xml:space="preserve">Republic Day</t>
  </si>
  <si>
    <t xml:space="preserve">Holi</t>
  </si>
  <si>
    <t xml:space="preserve">Shri Ram Navami</t>
  </si>
  <si>
    <t xml:space="preserve">Shri Mahavir Jayanti</t>
  </si>
  <si>
    <t xml:space="preserve">Good Friday</t>
  </si>
  <si>
    <t xml:space="preserve">Dr. Baba Saheb Ambedkar Jayanti</t>
  </si>
  <si>
    <t xml:space="preserve">Maharashtra Day</t>
  </si>
  <si>
    <t xml:space="preserve">Bakri Id</t>
  </si>
  <si>
    <t xml:space="preserve">Muharram</t>
  </si>
  <si>
    <t xml:space="preserve">Ganesh Chaturthi</t>
  </si>
  <si>
    <t xml:space="preserve">Mahatma Gandhi Jayanti</t>
  </si>
  <si>
    <t xml:space="preserve">Dussehra</t>
  </si>
  <si>
    <t xml:space="preserve">Diwali Balipratipada</t>
  </si>
  <si>
    <t xml:space="preserve">Diwali Laxmi Pujan (Sun 8-Nov) has a 1-hour Muhurat session; not a tracker row</t>
  </si>
  <si>
    <t xml:space="preserve">Guru Nanak Jayanti</t>
  </si>
  <si>
    <t xml:space="preserve">Christmas</t>
  </si>
  <si>
    <t xml:space="preserve">Republic Day (expected)</t>
  </si>
  <si>
    <t xml:space="preserve">2027 list not yet published by NSE — confirm and add the rest</t>
  </si>
  <si>
    <t xml:space="preserve">How to use this tracker</t>
  </si>
  <si>
    <t xml:space="preserve">1. Each evening, go to that day's row on the Tracker sheet and type your account balance in the yellow "Closing Balance" cell:</t>
  </si>
  <si>
    <t xml:space="preserve">      • Just the balance, e.g. 4346.60 — Profit/Loss (closing − opening) is calculated for you.     • Did not trade → type the same balance as the opening capital.</t>
  </si>
  <si>
    <t xml:space="preserve">2. Profit / Loss fills in automatically (green = profit, red = loss), and your closing balance becomes the next day's Opening Capital.</t>
  </si>
  <si>
    <t xml:space="preserve">   The next day's Profit Target (20%) and Loss Limit (10%) are recalculated from that new capital.</t>
  </si>
  <si>
    <t xml:space="preserve">3. Pick ✔ from the "Done?" dropdown to tick a day off. The Summary box counts ticked days. Press Delete to untick.</t>
  </si>
  <si>
    <t xml:space="preserve">4. Leave Closing Balance blank for days that haven't happened yet — those rows are Projections.</t>
  </si>
  <si>
    <t xml:space="preserve">Worked example (matches the sheet's formulas)</t>
  </si>
  <si>
    <t xml:space="preserve">   Day 1 opens at ₹14,500.00 → Profit Target ₹2,900.00 (20%), Loss Limit ₹1,450.00 (10%).</t>
  </si>
  <si>
    <t xml:space="preserve">   Enter 13050 as Day 1's Closing Balance → Profit / Loss shows -₹1,450.00 (a loss at the limit).</t>
  </si>
  <si>
    <t xml:space="preserve">   Day 2 then opens at ₹13,050.00 → Profit Target ₹2,610.00, Loss Limit ₹1,305.00.</t>
  </si>
  <si>
    <t xml:space="preserve">About the projection</t>
  </si>
  <si>
    <t xml:space="preserve">   • Rows marked "Projection" (grey italic) assume every daily profit target is hit. This is an illustration, not a prediction or guarantee.</t>
  </si>
  <si>
    <t xml:space="preserve">   • With no losses at all, reaching ₹1,00,000 from ₹14,500 at 20%/day takes about 11 trading days. Any loss or no-trade day extends the timeline.</t>
  </si>
  <si>
    <t xml:space="preserve">   • The table stops at the first day whose projected (or actual) close reaches the goal, and extends automatically after losses (up to 500 days).</t>
  </si>
  <si>
    <t xml:space="preserve">Other notes</t>
  </si>
  <si>
    <t xml:space="preserve">   • "Today's profit / loss" in the Summary box shows the result for today's date once you enter today's Closing Balance (green = profit, red = loss).</t>
  </si>
  <si>
    <t xml:space="preserve">   • Only NSE trading days get rows — Saturdays, Sundays and listed NSE holidays are skipped automatically.</t>
  </si>
  <si>
    <t xml:space="preserve">   • Day 1 is today, Tue 06-Oct-2026. Change the "Start trading from" setting to move everything.</t>
  </si>
  <si>
    <t xml:space="preserve">   • NSE trading holidays listed on the 'NSE Holidays' sheet are skipped too. Add 2027 dates there once NSE publishes them (usually in December).</t>
  </si>
  <si>
    <t xml:space="preserve">   • Amounts are rounded to the paisa (2 decimals). Target = ROUND(opening capital × 20%, 2); loss limit = ROUND(opening capital × 10%, 2).</t>
  </si>
  <si>
    <t xml:space="preserve">   • Status shows "Loss (limit breached)" if a day's loss is bigger than that day's loss limit.</t>
  </si>
  <si>
    <t xml:space="preserve">   • You can change the start date, starting capital, goal or percentages in the yellow Settings cells; everything recalculates.</t>
  </si>
  <si>
    <t xml:space="preserve">   • If you leave a past day blank, it is treated as a Projection (target met). Enter 0 for days you didn't trade to keep the balance accurate.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</si>
</sst>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-mmm\-yyyy&quot; (&quot;ddd\)"/>
    <numFmt numFmtId="166" formatCode="[&gt;=100000]\₹#\,##\,##0.00;\₹#,##0.00"/>
    <numFmt numFmtId="167" formatCode="0.0%"/>
    <numFmt numFmtId="168" formatCode="0;\-0;&quot;None yet&quot;"/>
    <numFmt numFmtId="169" formatCode="0"/>
    <numFmt numFmtId="170" formatCode="\₹#,##0.00;[RED]&quot;-₹&quot;#,##0.00;\₹0.00"/>
    <numFmt numFmtId="171" formatCode="\+0.00%;\-0.00%;0.00%"/>
    <numFmt numFmtId="172" formatCode="dd\-mmm\-yyyy"/>
    <numFmt numFmtId="173" formatCode="ddd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4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EEF3FA"/>
        <bgColor rgb="FFF2F2F2"/>
      </patternFill>
    </fill>
    <fill>
      <patternFill patternType="solid">
        <fgColor rgb="FFBF8F00"/>
        <bgColor rgb="FF8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b val="1"/>
        <color rgb="FFC00000"/>
      </font>
    </dxf>
    <dxf>
      <font>
        <b val="1"/>
        <color rgb="FF00703C"/>
      </font>
    </dxf>
    <dxf>
      <fill>
        <patternFill>
          <bgColor rgb="FFFFF2CC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b val="1"/>
        <color rgb="FFC00000"/>
      </font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b val="1"/>
        <color rgb="FF00703C"/>
      </font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i val="1"/>
        <color rgb="FF808080"/>
      </font>
      <fill>
        <patternFill>
          <bgColor rgb="FFF2F2F2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03C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3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5" min="4" style="0" width="15"/>
    <col collapsed="false" customWidth="true" hidden="false" outlineLevel="0" max="6" min="6" style="0" width="19"/>
    <col collapsed="false" customWidth="true" hidden="false" outlineLevel="0" max="7" min="7" style="0" width="16"/>
    <col collapsed="false" customWidth="true" hidden="false" outlineLevel="0" max="8" min="8" style="0" width="19"/>
    <col collapsed="false" customWidth="true" hidden="false" outlineLevel="0" max="9" min="9" style="0" width="27"/>
    <col collapsed="false" customWidth="true" hidden="false" outlineLevel="0" max="10" min="10" style="0" width="15"/>
    <col collapsed="false" customWidth="true" hidden="false" outlineLevel="0" max="11" min="11" style="0" width="30"/>
  </cols>
  <sheetData>
    <row r="1" customFormat="false" ht="19.7" hidden="false" customHeight="false" outlineLevel="0" collapsed="false">
      <c r="A1" s="1" t="str">
        <f aca="false">"Daily Trading P/L Tracker — "&amp;TEXT($C$6,"[&gt;=100000]₹#\,##\,##0;₹#,##0")&amp;" → "&amp;TEXT($C$7,"[&gt;=100000]₹#\,##\,##0;₹#,##0")&amp;" Goal"</f>
        <v>Daily Trading P/L Tracker — ₹14,500 → ₹1,00,000 Goal</v>
      </c>
    </row>
    <row r="2" customFormat="false" ht="27.7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1</v>
      </c>
      <c r="B4" s="3"/>
      <c r="C4" s="3"/>
      <c r="E4" s="3" t="s">
        <v>2</v>
      </c>
      <c r="F4" s="3"/>
      <c r="G4" s="3"/>
      <c r="H4" s="3"/>
      <c r="I4" s="3"/>
      <c r="J4" s="3"/>
    </row>
    <row r="5" customFormat="false" ht="15" hidden="false" customHeight="false" outlineLevel="0" collapsed="false">
      <c r="A5" s="4" t="s">
        <v>3</v>
      </c>
      <c r="B5" s="4"/>
      <c r="C5" s="5" t="n">
        <v>46301</v>
      </c>
      <c r="E5" s="6" t="s">
        <v>4</v>
      </c>
      <c r="F5" s="6"/>
      <c r="G5" s="7" t="n">
        <f aca="false">IF($J$6=0,$C$6,INDEX($H$13:$H$512,$J$6))</f>
        <v>14500</v>
      </c>
      <c r="H5" s="6" t="s">
        <v>5</v>
      </c>
      <c r="I5" s="6"/>
      <c r="J5" s="8" t="n">
        <f aca="false">MIN(1,MAX(0,$G$5/$C$7))</f>
        <v>0.145</v>
      </c>
    </row>
    <row r="6" customFormat="false" ht="15" hidden="false" customHeight="false" outlineLevel="0" collapsed="false">
      <c r="A6" s="4" t="s">
        <v>6</v>
      </c>
      <c r="B6" s="4"/>
      <c r="C6" s="9" t="n">
        <v>14500</v>
      </c>
      <c r="E6" s="6" t="s">
        <v>7</v>
      </c>
      <c r="F6" s="6"/>
      <c r="G6" s="10" t="n">
        <f aca="false">MAX(0,$C$7-$G$5)</f>
        <v>85500</v>
      </c>
      <c r="H6" s="6" t="s">
        <v>8</v>
      </c>
      <c r="I6" s="6"/>
      <c r="J6" s="11" t="n">
        <f aca="false">MAX(0,SUMPRODUCT(MAX(ISNUMBER($G$13:$G$512)*ROW($G$13:$G$512)))-12)</f>
        <v>0</v>
      </c>
    </row>
    <row r="7" customFormat="false" ht="15" hidden="false" customHeight="false" outlineLevel="0" collapsed="false">
      <c r="A7" s="4" t="s">
        <v>9</v>
      </c>
      <c r="B7" s="4"/>
      <c r="C7" s="9" t="n">
        <v>100000</v>
      </c>
      <c r="E7" s="6" t="s">
        <v>10</v>
      </c>
      <c r="F7" s="6"/>
      <c r="G7" s="10" t="n">
        <f aca="false">IF($G$5&gt;=$C$7,"Goal reached",ROUND($G$5*$C$8,2))</f>
        <v>2900</v>
      </c>
      <c r="H7" s="6" t="s">
        <v>11</v>
      </c>
      <c r="I7" s="6"/>
      <c r="J7" s="12" t="n">
        <f aca="false">COUNTIF($J$13:$J$512,"✔")</f>
        <v>0</v>
      </c>
    </row>
    <row r="8" customFormat="false" ht="15" hidden="false" customHeight="false" outlineLevel="0" collapsed="false">
      <c r="A8" s="4" t="s">
        <v>12</v>
      </c>
      <c r="B8" s="4"/>
      <c r="C8" s="13" t="n">
        <v>0.2</v>
      </c>
      <c r="E8" s="6" t="s">
        <v>13</v>
      </c>
      <c r="F8" s="6"/>
      <c r="G8" s="10" t="n">
        <f aca="false">IF($G$5&gt;=$C$7,"Goal reached",ROUND($G$5*$C$9,2))</f>
        <v>1450</v>
      </c>
      <c r="H8" s="6" t="s">
        <v>14</v>
      </c>
      <c r="I8" s="6"/>
      <c r="J8" s="12" t="n">
        <f aca="false">COUNTIF($I$13:$I$512,"Projection")</f>
        <v>11</v>
      </c>
    </row>
    <row r="9" customFormat="false" ht="15" hidden="false" customHeight="false" outlineLevel="0" collapsed="false">
      <c r="A9" s="4" t="s">
        <v>15</v>
      </c>
      <c r="B9" s="4"/>
      <c r="C9" s="13" t="n">
        <v>0.1</v>
      </c>
      <c r="E9" s="6" t="str">
        <f aca="false">"Next trading day (Day "&amp;($J$6+1)&amp;")"</f>
        <v>Next trading day (Day 1)</v>
      </c>
      <c r="F9" s="6"/>
      <c r="G9" s="14" t="n">
        <f aca="false">WORKDAY($C$5-1,$J$6+1,'NSE Holidays'!$A$5:$A$64)</f>
        <v>46301</v>
      </c>
      <c r="H9" s="6" t="s">
        <v>16</v>
      </c>
      <c r="I9" s="6"/>
      <c r="J9" s="14" t="n">
        <f aca="false">IF($G$5&gt;=$C$7,"Goal reached",IF(AND($C$512&lt;&gt;"",N($F$512)&lt;$C$7),"Beyond 500 rows",MAX($B$13:$B$512)))</f>
        <v>46316</v>
      </c>
    </row>
    <row r="10" customFormat="false" ht="15" hidden="false" customHeight="false" outlineLevel="0" collapsed="false">
      <c r="E10" s="6" t="s">
        <v>17</v>
      </c>
      <c r="F10" s="6"/>
      <c r="G10" s="15" t="str">
        <f aca="true">IFERROR(IF(ISNUMBER(INDEX($G$13:$G$512,MATCH(TODAY(),$B$13:$B$512,0))),INDEX($G$13:$G$512,MATCH(TODAY(),$B$13:$B$512,0)),"Not logged yet"),"Not a trading day")</f>
        <v>Not logged yet</v>
      </c>
      <c r="H10" s="6" t="s">
        <v>18</v>
      </c>
      <c r="I10" s="6"/>
      <c r="J10" s="16" t="str">
        <f aca="true">IF(ISNUMBER($G$10),$G$10/INDEX($C$13:$C$512,MATCH(TODAY(),$B$13:$B$512,0)),"")</f>
        <v/>
      </c>
    </row>
    <row r="11" customFormat="false" ht="25.5" hidden="false" customHeight="true" outlineLevel="0" collapsed="false">
      <c r="A11" s="17" t="s">
        <v>19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customFormat="false" ht="31.5" hidden="false" customHeight="true" outlineLevel="0" collapsed="false">
      <c r="A12" s="18" t="s">
        <v>20</v>
      </c>
      <c r="B12" s="18" t="s">
        <v>21</v>
      </c>
      <c r="C12" s="18" t="s">
        <v>22</v>
      </c>
      <c r="D12" s="18" t="str">
        <f aca="false">"Profit Target ("&amp;TEXT($C$8,"0%")&amp;")"</f>
        <v>Profit Target (20%)</v>
      </c>
      <c r="E12" s="18" t="str">
        <f aca="false">"Loss Limit ("&amp;TEXT($C$9,"0%")&amp;")"</f>
        <v>Loss Limit (10%)</v>
      </c>
      <c r="F12" s="18" t="s">
        <v>23</v>
      </c>
      <c r="G12" s="18" t="s">
        <v>24</v>
      </c>
      <c r="H12" s="19" t="s">
        <v>25</v>
      </c>
      <c r="I12" s="18" t="s">
        <v>26</v>
      </c>
      <c r="J12" s="19" t="s">
        <v>27</v>
      </c>
      <c r="K12" s="19" t="s">
        <v>28</v>
      </c>
    </row>
    <row r="13" customFormat="false" ht="15" hidden="false" customHeight="false" outlineLevel="0" collapsed="false">
      <c r="A13" s="20" t="n">
        <f aca="false">IF(C13="","",ROW()-12)</f>
        <v>1</v>
      </c>
      <c r="B13" s="21" t="n">
        <f aca="false">IF(C13="","",WORKDAY($C$5-1,A13,'NSE Holidays'!$A$5:$A$64))</f>
        <v>46301</v>
      </c>
      <c r="C13" s="22" t="n">
        <f aca="false">$C$6</f>
        <v>14500</v>
      </c>
      <c r="D13" s="22" t="n">
        <f aca="false">IF(C13="","",ROUND(C13*$C$8,2))</f>
        <v>2900</v>
      </c>
      <c r="E13" s="22" t="n">
        <f aca="false">IF(C13="","",ROUND(C13*$C$9,2))</f>
        <v>1450</v>
      </c>
      <c r="F13" s="22" t="n">
        <f aca="false">IF(C13="","",C13+D13)</f>
        <v>17400</v>
      </c>
      <c r="G13" s="23" t="str">
        <f aca="false">IF(OR(C13="",NOT(ISNUMBER(H13))),"",ROUND(H13-C13,2))</f>
        <v/>
      </c>
      <c r="H13" s="24"/>
      <c r="I13" s="25" t="str">
        <f aca="false">IF(C13="","",IF(ISNUMBER(G13),IF(G13&lt;-E13,"Actual – Loss (limit breached)",IF(G13&lt;0,"Actual – Loss",IF(G13&gt;0,"Actual – Profit","Actual – No trade"))),"Projection"))</f>
        <v>Projection</v>
      </c>
      <c r="J13" s="26"/>
      <c r="K13" s="27"/>
    </row>
    <row r="14" customFormat="false" ht="15" hidden="false" customHeight="false" outlineLevel="0" collapsed="false">
      <c r="A14" s="20" t="n">
        <f aca="false">IF(C14="","",ROW()-12)</f>
        <v>2</v>
      </c>
      <c r="B14" s="21" t="n">
        <f aca="false">IF(C14="","",WORKDAY($C$5-1,A14,'NSE Holidays'!$A$5:$A$64))</f>
        <v>46302</v>
      </c>
      <c r="C14" s="22" t="n">
        <f aca="false">IF(C13="","",IF(OR(IF(ISNUMBER(G13),H13,F13)&gt;=$C$7,IF(ISNUMBER(G13),H13,F13)&lt;=0),"",IF(ISNUMBER(G13),H13,F13)))</f>
        <v>17400</v>
      </c>
      <c r="D14" s="22" t="n">
        <f aca="false">IF(C14="","",ROUND(C14*$C$8,2))</f>
        <v>3480</v>
      </c>
      <c r="E14" s="22" t="n">
        <f aca="false">IF(C14="","",ROUND(C14*$C$9,2))</f>
        <v>1740</v>
      </c>
      <c r="F14" s="22" t="n">
        <f aca="false">IF(C14="","",C14+D14)</f>
        <v>20880</v>
      </c>
      <c r="G14" s="23" t="str">
        <f aca="false">IF(OR(C14="",NOT(ISNUMBER(H14))),"",ROUND(H14-C14,2))</f>
        <v/>
      </c>
      <c r="H14" s="24"/>
      <c r="I14" s="25" t="str">
        <f aca="false">IF(C14="","",IF(ISNUMBER(G14),IF(G14&lt;-E14,"Actual – Loss (limit breached)",IF(G14&lt;0,"Actual – Loss",IF(G14&gt;0,"Actual – Profit","Actual – No trade"))),"Projection"))</f>
        <v>Projection</v>
      </c>
      <c r="J14" s="26"/>
      <c r="K14" s="27"/>
    </row>
    <row r="15" customFormat="false" ht="15" hidden="false" customHeight="false" outlineLevel="0" collapsed="false">
      <c r="A15" s="20" t="n">
        <f aca="false">IF(C15="","",ROW()-12)</f>
        <v>3</v>
      </c>
      <c r="B15" s="21" t="n">
        <f aca="false">IF(C15="","",WORKDAY($C$5-1,A15,'NSE Holidays'!$A$5:$A$64))</f>
        <v>46303</v>
      </c>
      <c r="C15" s="22" t="n">
        <f aca="false">IF(C14="","",IF(OR(IF(ISNUMBER(G14),H14,F14)&gt;=$C$7,IF(ISNUMBER(G14),H14,F14)&lt;=0),"",IF(ISNUMBER(G14),H14,F14)))</f>
        <v>20880</v>
      </c>
      <c r="D15" s="22" t="n">
        <f aca="false">IF(C15="","",ROUND(C15*$C$8,2))</f>
        <v>4176</v>
      </c>
      <c r="E15" s="22" t="n">
        <f aca="false">IF(C15="","",ROUND(C15*$C$9,2))</f>
        <v>2088</v>
      </c>
      <c r="F15" s="22" t="n">
        <f aca="false">IF(C15="","",C15+D15)</f>
        <v>25056</v>
      </c>
      <c r="G15" s="23" t="str">
        <f aca="false">IF(OR(C15="",NOT(ISNUMBER(H15))),"",ROUND(H15-C15,2))</f>
        <v/>
      </c>
      <c r="H15" s="24"/>
      <c r="I15" s="25" t="str">
        <f aca="false">IF(C15="","",IF(ISNUMBER(G15),IF(G15&lt;-E15,"Actual – Loss (limit breached)",IF(G15&lt;0,"Actual – Loss",IF(G15&gt;0,"Actual – Profit","Actual – No trade"))),"Projection"))</f>
        <v>Projection</v>
      </c>
      <c r="J15" s="26"/>
      <c r="K15" s="27"/>
    </row>
    <row r="16" customFormat="false" ht="15" hidden="false" customHeight="false" outlineLevel="0" collapsed="false">
      <c r="A16" s="20" t="n">
        <f aca="false">IF(C16="","",ROW()-12)</f>
        <v>4</v>
      </c>
      <c r="B16" s="21" t="n">
        <f aca="false">IF(C16="","",WORKDAY($C$5-1,A16,'NSE Holidays'!$A$5:$A$64))</f>
        <v>46304</v>
      </c>
      <c r="C16" s="22" t="n">
        <f aca="false">IF(C15="","",IF(OR(IF(ISNUMBER(G15),H15,F15)&gt;=$C$7,IF(ISNUMBER(G15),H15,F15)&lt;=0),"",IF(ISNUMBER(G15),H15,F15)))</f>
        <v>25056</v>
      </c>
      <c r="D16" s="22" t="n">
        <f aca="false">IF(C16="","",ROUND(C16*$C$8,2))</f>
        <v>5011.2</v>
      </c>
      <c r="E16" s="22" t="n">
        <f aca="false">IF(C16="","",ROUND(C16*$C$9,2))</f>
        <v>2505.6</v>
      </c>
      <c r="F16" s="22" t="n">
        <f aca="false">IF(C16="","",C16+D16)</f>
        <v>30067.2</v>
      </c>
      <c r="G16" s="23" t="str">
        <f aca="false">IF(OR(C16="",NOT(ISNUMBER(H16))),"",ROUND(H16-C16,2))</f>
        <v/>
      </c>
      <c r="H16" s="24"/>
      <c r="I16" s="25" t="str">
        <f aca="false">IF(C16="","",IF(ISNUMBER(G16),IF(G16&lt;-E16,"Actual – Loss (limit breached)",IF(G16&lt;0,"Actual – Loss",IF(G16&gt;0,"Actual – Profit","Actual – No trade"))),"Projection"))</f>
        <v>Projection</v>
      </c>
      <c r="J16" s="26"/>
      <c r="K16" s="27"/>
    </row>
    <row r="17" customFormat="false" ht="15" hidden="false" customHeight="false" outlineLevel="0" collapsed="false">
      <c r="A17" s="20" t="n">
        <f aca="false">IF(C17="","",ROW()-12)</f>
        <v>5</v>
      </c>
      <c r="B17" s="21" t="n">
        <f aca="false">IF(C17="","",WORKDAY($C$5-1,A17,'NSE Holidays'!$A$5:$A$64))</f>
        <v>46307</v>
      </c>
      <c r="C17" s="22" t="n">
        <f aca="false">IF(C16="","",IF(OR(IF(ISNUMBER(G16),H16,F16)&gt;=$C$7,IF(ISNUMBER(G16),H16,F16)&lt;=0),"",IF(ISNUMBER(G16),H16,F16)))</f>
        <v>30067.2</v>
      </c>
      <c r="D17" s="22" t="n">
        <f aca="false">IF(C17="","",ROUND(C17*$C$8,2))</f>
        <v>6013.44</v>
      </c>
      <c r="E17" s="22" t="n">
        <f aca="false">IF(C17="","",ROUND(C17*$C$9,2))</f>
        <v>3006.72</v>
      </c>
      <c r="F17" s="22" t="n">
        <f aca="false">IF(C17="","",C17+D17)</f>
        <v>36080.64</v>
      </c>
      <c r="G17" s="23" t="str">
        <f aca="false">IF(OR(C17="",NOT(ISNUMBER(H17))),"",ROUND(H17-C17,2))</f>
        <v/>
      </c>
      <c r="H17" s="24"/>
      <c r="I17" s="25" t="str">
        <f aca="false">IF(C17="","",IF(ISNUMBER(G17),IF(G17&lt;-E17,"Actual – Loss (limit breached)",IF(G17&lt;0,"Actual – Loss",IF(G17&gt;0,"Actual – Profit","Actual – No trade"))),"Projection"))</f>
        <v>Projection</v>
      </c>
      <c r="J17" s="26"/>
      <c r="K17" s="27"/>
    </row>
    <row r="18" customFormat="false" ht="15" hidden="false" customHeight="false" outlineLevel="0" collapsed="false">
      <c r="A18" s="20" t="n">
        <f aca="false">IF(C18="","",ROW()-12)</f>
        <v>6</v>
      </c>
      <c r="B18" s="21" t="n">
        <f aca="false">IF(C18="","",WORKDAY($C$5-1,A18,'NSE Holidays'!$A$5:$A$64))</f>
        <v>46308</v>
      </c>
      <c r="C18" s="22" t="n">
        <f aca="false">IF(C17="","",IF(OR(IF(ISNUMBER(G17),H17,F17)&gt;=$C$7,IF(ISNUMBER(G17),H17,F17)&lt;=0),"",IF(ISNUMBER(G17),H17,F17)))</f>
        <v>36080.64</v>
      </c>
      <c r="D18" s="22" t="n">
        <f aca="false">IF(C18="","",ROUND(C18*$C$8,2))</f>
        <v>7216.13</v>
      </c>
      <c r="E18" s="22" t="n">
        <f aca="false">IF(C18="","",ROUND(C18*$C$9,2))</f>
        <v>3608.06</v>
      </c>
      <c r="F18" s="22" t="n">
        <f aca="false">IF(C18="","",C18+D18)</f>
        <v>43296.77</v>
      </c>
      <c r="G18" s="23" t="str">
        <f aca="false">IF(OR(C18="",NOT(ISNUMBER(H18))),"",ROUND(H18-C18,2))</f>
        <v/>
      </c>
      <c r="H18" s="24"/>
      <c r="I18" s="25" t="str">
        <f aca="false">IF(C18="","",IF(ISNUMBER(G18),IF(G18&lt;-E18,"Actual – Loss (limit breached)",IF(G18&lt;0,"Actual – Loss",IF(G18&gt;0,"Actual – Profit","Actual – No trade"))),"Projection"))</f>
        <v>Projection</v>
      </c>
      <c r="J18" s="26"/>
      <c r="K18" s="27"/>
    </row>
    <row r="19" customFormat="false" ht="15" hidden="false" customHeight="false" outlineLevel="0" collapsed="false">
      <c r="A19" s="20" t="n">
        <f aca="false">IF(C19="","",ROW()-12)</f>
        <v>7</v>
      </c>
      <c r="B19" s="21" t="n">
        <f aca="false">IF(C19="","",WORKDAY($C$5-1,A19,'NSE Holidays'!$A$5:$A$64))</f>
        <v>46309</v>
      </c>
      <c r="C19" s="22" t="n">
        <f aca="false">IF(C18="","",IF(OR(IF(ISNUMBER(G18),H18,F18)&gt;=$C$7,IF(ISNUMBER(G18),H18,F18)&lt;=0),"",IF(ISNUMBER(G18),H18,F18)))</f>
        <v>43296.77</v>
      </c>
      <c r="D19" s="22" t="n">
        <f aca="false">IF(C19="","",ROUND(C19*$C$8,2))</f>
        <v>8659.35</v>
      </c>
      <c r="E19" s="22" t="n">
        <f aca="false">IF(C19="","",ROUND(C19*$C$9,2))</f>
        <v>4329.68</v>
      </c>
      <c r="F19" s="22" t="n">
        <f aca="false">IF(C19="","",C19+D19)</f>
        <v>51956.12</v>
      </c>
      <c r="G19" s="23" t="str">
        <f aca="false">IF(OR(C19="",NOT(ISNUMBER(H19))),"",ROUND(H19-C19,2))</f>
        <v/>
      </c>
      <c r="H19" s="24"/>
      <c r="I19" s="25" t="str">
        <f aca="false">IF(C19="","",IF(ISNUMBER(G19),IF(G19&lt;-E19,"Actual – Loss (limit breached)",IF(G19&lt;0,"Actual – Loss",IF(G19&gt;0,"Actual – Profit","Actual – No trade"))),"Projection"))</f>
        <v>Projection</v>
      </c>
      <c r="J19" s="26"/>
      <c r="K19" s="27"/>
    </row>
    <row r="20" customFormat="false" ht="15" hidden="false" customHeight="false" outlineLevel="0" collapsed="false">
      <c r="A20" s="20" t="n">
        <f aca="false">IF(C20="","",ROW()-12)</f>
        <v>8</v>
      </c>
      <c r="B20" s="21" t="n">
        <f aca="false">IF(C20="","",WORKDAY($C$5-1,A20,'NSE Holidays'!$A$5:$A$64))</f>
        <v>46310</v>
      </c>
      <c r="C20" s="22" t="n">
        <f aca="false">IF(C19="","",IF(OR(IF(ISNUMBER(G19),H19,F19)&gt;=$C$7,IF(ISNUMBER(G19),H19,F19)&lt;=0),"",IF(ISNUMBER(G19),H19,F19)))</f>
        <v>51956.12</v>
      </c>
      <c r="D20" s="22" t="n">
        <f aca="false">IF(C20="","",ROUND(C20*$C$8,2))</f>
        <v>10391.22</v>
      </c>
      <c r="E20" s="22" t="n">
        <f aca="false">IF(C20="","",ROUND(C20*$C$9,2))</f>
        <v>5195.61</v>
      </c>
      <c r="F20" s="22" t="n">
        <f aca="false">IF(C20="","",C20+D20)</f>
        <v>62347.34</v>
      </c>
      <c r="G20" s="23" t="str">
        <f aca="false">IF(OR(C20="",NOT(ISNUMBER(H20))),"",ROUND(H20-C20,2))</f>
        <v/>
      </c>
      <c r="H20" s="24"/>
      <c r="I20" s="25" t="str">
        <f aca="false">IF(C20="","",IF(ISNUMBER(G20),IF(G20&lt;-E20,"Actual – Loss (limit breached)",IF(G20&lt;0,"Actual – Loss",IF(G20&gt;0,"Actual – Profit","Actual – No trade"))),"Projection"))</f>
        <v>Projection</v>
      </c>
      <c r="J20" s="26"/>
      <c r="K20" s="27"/>
    </row>
    <row r="21" customFormat="false" ht="15" hidden="false" customHeight="false" outlineLevel="0" collapsed="false">
      <c r="A21" s="20" t="n">
        <f aca="false">IF(C21="","",ROW()-12)</f>
        <v>9</v>
      </c>
      <c r="B21" s="21" t="n">
        <f aca="false">IF(C21="","",WORKDAY($C$5-1,A21,'NSE Holidays'!$A$5:$A$64))</f>
        <v>46311</v>
      </c>
      <c r="C21" s="22" t="n">
        <f aca="false">IF(C20="","",IF(OR(IF(ISNUMBER(G20),H20,F20)&gt;=$C$7,IF(ISNUMBER(G20),H20,F20)&lt;=0),"",IF(ISNUMBER(G20),H20,F20)))</f>
        <v>62347.34</v>
      </c>
      <c r="D21" s="22" t="n">
        <f aca="false">IF(C21="","",ROUND(C21*$C$8,2))</f>
        <v>12469.47</v>
      </c>
      <c r="E21" s="22" t="n">
        <f aca="false">IF(C21="","",ROUND(C21*$C$9,2))</f>
        <v>6234.73</v>
      </c>
      <c r="F21" s="22" t="n">
        <f aca="false">IF(C21="","",C21+D21)</f>
        <v>74816.81</v>
      </c>
      <c r="G21" s="23" t="str">
        <f aca="false">IF(OR(C21="",NOT(ISNUMBER(H21))),"",ROUND(H21-C21,2))</f>
        <v/>
      </c>
      <c r="H21" s="24"/>
      <c r="I21" s="25" t="str">
        <f aca="false">IF(C21="","",IF(ISNUMBER(G21),IF(G21&lt;-E21,"Actual – Loss (limit breached)",IF(G21&lt;0,"Actual – Loss",IF(G21&gt;0,"Actual – Profit","Actual – No trade"))),"Projection"))</f>
        <v>Projection</v>
      </c>
      <c r="J21" s="26"/>
      <c r="K21" s="27"/>
    </row>
    <row r="22" customFormat="false" ht="15" hidden="false" customHeight="false" outlineLevel="0" collapsed="false">
      <c r="A22" s="20" t="n">
        <f aca="false">IF(C22="","",ROW()-12)</f>
        <v>10</v>
      </c>
      <c r="B22" s="21" t="n">
        <f aca="false">IF(C22="","",WORKDAY($C$5-1,A22,'NSE Holidays'!$A$5:$A$64))</f>
        <v>46314</v>
      </c>
      <c r="C22" s="22" t="n">
        <f aca="false">IF(C21="","",IF(OR(IF(ISNUMBER(G21),H21,F21)&gt;=$C$7,IF(ISNUMBER(G21),H21,F21)&lt;=0),"",IF(ISNUMBER(G21),H21,F21)))</f>
        <v>74816.81</v>
      </c>
      <c r="D22" s="22" t="n">
        <f aca="false">IF(C22="","",ROUND(C22*$C$8,2))</f>
        <v>14963.36</v>
      </c>
      <c r="E22" s="22" t="n">
        <f aca="false">IF(C22="","",ROUND(C22*$C$9,2))</f>
        <v>7481.68</v>
      </c>
      <c r="F22" s="22" t="n">
        <f aca="false">IF(C22="","",C22+D22)</f>
        <v>89780.17</v>
      </c>
      <c r="G22" s="23" t="str">
        <f aca="false">IF(OR(C22="",NOT(ISNUMBER(H22))),"",ROUND(H22-C22,2))</f>
        <v/>
      </c>
      <c r="H22" s="24"/>
      <c r="I22" s="25" t="str">
        <f aca="false">IF(C22="","",IF(ISNUMBER(G22),IF(G22&lt;-E22,"Actual – Loss (limit breached)",IF(G22&lt;0,"Actual – Loss",IF(G22&gt;0,"Actual – Profit","Actual – No trade"))),"Projection"))</f>
        <v>Projection</v>
      </c>
      <c r="J22" s="26"/>
      <c r="K22" s="27"/>
    </row>
    <row r="23" customFormat="false" ht="15" hidden="false" customHeight="false" outlineLevel="0" collapsed="false">
      <c r="A23" s="20" t="n">
        <f aca="false">IF(C23="","",ROW()-12)</f>
        <v>11</v>
      </c>
      <c r="B23" s="21" t="n">
        <f aca="false">IF(C23="","",WORKDAY($C$5-1,A23,'NSE Holidays'!$A$5:$A$64))</f>
        <v>46316</v>
      </c>
      <c r="C23" s="22" t="n">
        <f aca="false">IF(C22="","",IF(OR(IF(ISNUMBER(G22),H22,F22)&gt;=$C$7,IF(ISNUMBER(G22),H22,F22)&lt;=0),"",IF(ISNUMBER(G22),H22,F22)))</f>
        <v>89780.17</v>
      </c>
      <c r="D23" s="22" t="n">
        <f aca="false">IF(C23="","",ROUND(C23*$C$8,2))</f>
        <v>17956.03</v>
      </c>
      <c r="E23" s="22" t="n">
        <f aca="false">IF(C23="","",ROUND(C23*$C$9,2))</f>
        <v>8978.02</v>
      </c>
      <c r="F23" s="22" t="n">
        <f aca="false">IF(C23="","",C23+D23)</f>
        <v>107736.2</v>
      </c>
      <c r="G23" s="23" t="str">
        <f aca="false">IF(OR(C23="",NOT(ISNUMBER(H23))),"",ROUND(H23-C23,2))</f>
        <v/>
      </c>
      <c r="H23" s="24"/>
      <c r="I23" s="25" t="str">
        <f aca="false">IF(C23="","",IF(ISNUMBER(G23),IF(G23&lt;-E23,"Actual – Loss (limit breached)",IF(G23&lt;0,"Actual – Loss",IF(G23&gt;0,"Actual – Profit","Actual – No trade"))),"Projection"))</f>
        <v>Projection</v>
      </c>
      <c r="J23" s="26"/>
      <c r="K23" s="27"/>
    </row>
    <row r="24" customFormat="false" ht="15" hidden="false" customHeight="false" outlineLevel="0" collapsed="false">
      <c r="A24" s="20" t="str">
        <f aca="false">IF(C24="","",ROW()-12)</f>
        <v/>
      </c>
      <c r="B24" s="21" t="str">
        <f aca="false">IF(C24="","",WORKDAY($C$5-1,A24,'NSE Holidays'!$A$5:$A$64))</f>
        <v/>
      </c>
      <c r="C24" s="22" t="str">
        <f aca="false">IF(C23="","",IF(OR(IF(ISNUMBER(G23),H23,F23)&gt;=$C$7,IF(ISNUMBER(G23),H23,F23)&lt;=0),"",IF(ISNUMBER(G23),H23,F23)))</f>
        <v/>
      </c>
      <c r="D24" s="22" t="str">
        <f aca="false">IF(C24="","",ROUND(C24*$C$8,2))</f>
        <v/>
      </c>
      <c r="E24" s="22" t="str">
        <f aca="false">IF(C24="","",ROUND(C24*$C$9,2))</f>
        <v/>
      </c>
      <c r="F24" s="22" t="str">
        <f aca="false">IF(C24="","",C24+D24)</f>
        <v/>
      </c>
      <c r="G24" s="23" t="str">
        <f aca="false">IF(OR(C24="",NOT(ISNUMBER(H24))),"",ROUND(H24-C24,2))</f>
        <v/>
      </c>
      <c r="H24" s="24"/>
      <c r="I24" s="25" t="str">
        <f aca="false">IF(C24="","",IF(ISNUMBER(G24),IF(G24&lt;-E24,"Actual – Loss (limit breached)",IF(G24&lt;0,"Actual – Loss",IF(G24&gt;0,"Actual – Profit","Actual – No trade"))),"Projection"))</f>
        <v/>
      </c>
      <c r="J24" s="26"/>
      <c r="K24" s="27"/>
    </row>
    <row r="25" customFormat="false" ht="15" hidden="false" customHeight="false" outlineLevel="0" collapsed="false">
      <c r="A25" s="20" t="str">
        <f aca="false">IF(C25="","",ROW()-12)</f>
        <v/>
      </c>
      <c r="B25" s="21" t="str">
        <f aca="false">IF(C25="","",WORKDAY($C$5-1,A25,'NSE Holidays'!$A$5:$A$64))</f>
        <v/>
      </c>
      <c r="C25" s="22" t="str">
        <f aca="false">IF(C24="","",IF(OR(IF(ISNUMBER(G24),H24,F24)&gt;=$C$7,IF(ISNUMBER(G24),H24,F24)&lt;=0),"",IF(ISNUMBER(G24),H24,F24)))</f>
        <v/>
      </c>
      <c r="D25" s="22" t="str">
        <f aca="false">IF(C25="","",ROUND(C25*$C$8,2))</f>
        <v/>
      </c>
      <c r="E25" s="22" t="str">
        <f aca="false">IF(C25="","",ROUND(C25*$C$9,2))</f>
        <v/>
      </c>
      <c r="F25" s="22" t="str">
        <f aca="false">IF(C25="","",C25+D25)</f>
        <v/>
      </c>
      <c r="G25" s="23" t="str">
        <f aca="false">IF(OR(C25="",NOT(ISNUMBER(H25))),"",ROUND(H25-C25,2))</f>
        <v/>
      </c>
      <c r="H25" s="24"/>
      <c r="I25" s="25" t="str">
        <f aca="false">IF(C25="","",IF(ISNUMBER(G25),IF(G25&lt;-E25,"Actual – Loss (limit breached)",IF(G25&lt;0,"Actual – Loss",IF(G25&gt;0,"Actual – Profit","Actual – No trade"))),"Projection"))</f>
        <v/>
      </c>
      <c r="J25" s="26"/>
      <c r="K25" s="27"/>
    </row>
    <row r="26" customFormat="false" ht="15" hidden="false" customHeight="false" outlineLevel="0" collapsed="false">
      <c r="A26" s="20" t="str">
        <f aca="false">IF(C26="","",ROW()-12)</f>
        <v/>
      </c>
      <c r="B26" s="21" t="str">
        <f aca="false">IF(C26="","",WORKDAY($C$5-1,A26,'NSE Holidays'!$A$5:$A$64))</f>
        <v/>
      </c>
      <c r="C26" s="22" t="str">
        <f aca="false">IF(C25="","",IF(OR(IF(ISNUMBER(G25),H25,F25)&gt;=$C$7,IF(ISNUMBER(G25),H25,F25)&lt;=0),"",IF(ISNUMBER(G25),H25,F25)))</f>
        <v/>
      </c>
      <c r="D26" s="22" t="str">
        <f aca="false">IF(C26="","",ROUND(C26*$C$8,2))</f>
        <v/>
      </c>
      <c r="E26" s="22" t="str">
        <f aca="false">IF(C26="","",ROUND(C26*$C$9,2))</f>
        <v/>
      </c>
      <c r="F26" s="22" t="str">
        <f aca="false">IF(C26="","",C26+D26)</f>
        <v/>
      </c>
      <c r="G26" s="23" t="str">
        <f aca="false">IF(OR(C26="",NOT(ISNUMBER(H26))),"",ROUND(H26-C26,2))</f>
        <v/>
      </c>
      <c r="H26" s="24"/>
      <c r="I26" s="25" t="str">
        <f aca="false">IF(C26="","",IF(ISNUMBER(G26),IF(G26&lt;-E26,"Actual – Loss (limit breached)",IF(G26&lt;0,"Actual – Loss",IF(G26&gt;0,"Actual – Profit","Actual – No trade"))),"Projection"))</f>
        <v/>
      </c>
      <c r="J26" s="26"/>
      <c r="K26" s="27"/>
    </row>
    <row r="27" customFormat="false" ht="15" hidden="false" customHeight="false" outlineLevel="0" collapsed="false">
      <c r="A27" s="20" t="str">
        <f aca="false">IF(C27="","",ROW()-12)</f>
        <v/>
      </c>
      <c r="B27" s="21" t="str">
        <f aca="false">IF(C27="","",WORKDAY($C$5-1,A27,'NSE Holidays'!$A$5:$A$64))</f>
        <v/>
      </c>
      <c r="C27" s="22" t="str">
        <f aca="false">IF(C26="","",IF(OR(IF(ISNUMBER(G26),H26,F26)&gt;=$C$7,IF(ISNUMBER(G26),H26,F26)&lt;=0),"",IF(ISNUMBER(G26),H26,F26)))</f>
        <v/>
      </c>
      <c r="D27" s="22" t="str">
        <f aca="false">IF(C27="","",ROUND(C27*$C$8,2))</f>
        <v/>
      </c>
      <c r="E27" s="22" t="str">
        <f aca="false">IF(C27="","",ROUND(C27*$C$9,2))</f>
        <v/>
      </c>
      <c r="F27" s="22" t="str">
        <f aca="false">IF(C27="","",C27+D27)</f>
        <v/>
      </c>
      <c r="G27" s="23" t="str">
        <f aca="false">IF(OR(C27="",NOT(ISNUMBER(H27))),"",ROUND(H27-C27,2))</f>
        <v/>
      </c>
      <c r="H27" s="24"/>
      <c r="I27" s="25" t="str">
        <f aca="false">IF(C27="","",IF(ISNUMBER(G27),IF(G27&lt;-E27,"Actual – Loss (limit breached)",IF(G27&lt;0,"Actual – Loss",IF(G27&gt;0,"Actual – Profit","Actual – No trade"))),"Projection"))</f>
        <v/>
      </c>
      <c r="J27" s="26"/>
      <c r="K27" s="27"/>
    </row>
    <row r="28" customFormat="false" ht="15" hidden="false" customHeight="false" outlineLevel="0" collapsed="false">
      <c r="A28" s="20" t="str">
        <f aca="false">IF(C28="","",ROW()-12)</f>
        <v/>
      </c>
      <c r="B28" s="21" t="str">
        <f aca="false">IF(C28="","",WORKDAY($C$5-1,A28,'NSE Holidays'!$A$5:$A$64))</f>
        <v/>
      </c>
      <c r="C28" s="22" t="str">
        <f aca="false">IF(C27="","",IF(OR(IF(ISNUMBER(G27),H27,F27)&gt;=$C$7,IF(ISNUMBER(G27),H27,F27)&lt;=0),"",IF(ISNUMBER(G27),H27,F27)))</f>
        <v/>
      </c>
      <c r="D28" s="22" t="str">
        <f aca="false">IF(C28="","",ROUND(C28*$C$8,2))</f>
        <v/>
      </c>
      <c r="E28" s="22" t="str">
        <f aca="false">IF(C28="","",ROUND(C28*$C$9,2))</f>
        <v/>
      </c>
      <c r="F28" s="22" t="str">
        <f aca="false">IF(C28="","",C28+D28)</f>
        <v/>
      </c>
      <c r="G28" s="23" t="str">
        <f aca="false">IF(OR(C28="",NOT(ISNUMBER(H28))),"",ROUND(H28-C28,2))</f>
        <v/>
      </c>
      <c r="H28" s="24"/>
      <c r="I28" s="25" t="str">
        <f aca="false">IF(C28="","",IF(ISNUMBER(G28),IF(G28&lt;-E28,"Actual – Loss (limit breached)",IF(G28&lt;0,"Actual – Loss",IF(G28&gt;0,"Actual – Profit","Actual – No trade"))),"Projection"))</f>
        <v/>
      </c>
      <c r="J28" s="26"/>
      <c r="K28" s="27"/>
    </row>
    <row r="29" customFormat="false" ht="15" hidden="false" customHeight="false" outlineLevel="0" collapsed="false">
      <c r="A29" s="20" t="str">
        <f aca="false">IF(C29="","",ROW()-12)</f>
        <v/>
      </c>
      <c r="B29" s="21" t="str">
        <f aca="false">IF(C29="","",WORKDAY($C$5-1,A29,'NSE Holidays'!$A$5:$A$64))</f>
        <v/>
      </c>
      <c r="C29" s="22" t="str">
        <f aca="false">IF(C28="","",IF(OR(IF(ISNUMBER(G28),H28,F28)&gt;=$C$7,IF(ISNUMBER(G28),H28,F28)&lt;=0),"",IF(ISNUMBER(G28),H28,F28)))</f>
        <v/>
      </c>
      <c r="D29" s="22" t="str">
        <f aca="false">IF(C29="","",ROUND(C29*$C$8,2))</f>
        <v/>
      </c>
      <c r="E29" s="22" t="str">
        <f aca="false">IF(C29="","",ROUND(C29*$C$9,2))</f>
        <v/>
      </c>
      <c r="F29" s="22" t="str">
        <f aca="false">IF(C29="","",C29+D29)</f>
        <v/>
      </c>
      <c r="G29" s="23" t="str">
        <f aca="false">IF(OR(C29="",NOT(ISNUMBER(H29))),"",ROUND(H29-C29,2))</f>
        <v/>
      </c>
      <c r="H29" s="24"/>
      <c r="I29" s="25" t="str">
        <f aca="false">IF(C29="","",IF(ISNUMBER(G29),IF(G29&lt;-E29,"Actual – Loss (limit breached)",IF(G29&lt;0,"Actual – Loss",IF(G29&gt;0,"Actual – Profit","Actual – No trade"))),"Projection"))</f>
        <v/>
      </c>
      <c r="J29" s="26"/>
      <c r="K29" s="27"/>
    </row>
    <row r="30" customFormat="false" ht="15" hidden="false" customHeight="false" outlineLevel="0" collapsed="false">
      <c r="A30" s="20" t="str">
        <f aca="false">IF(C30="","",ROW()-12)</f>
        <v/>
      </c>
      <c r="B30" s="21" t="str">
        <f aca="false">IF(C30="","",WORKDAY($C$5-1,A30,'NSE Holidays'!$A$5:$A$64))</f>
        <v/>
      </c>
      <c r="C30" s="22" t="str">
        <f aca="false">IF(C29="","",IF(OR(IF(ISNUMBER(G29),H29,F29)&gt;=$C$7,IF(ISNUMBER(G29),H29,F29)&lt;=0),"",IF(ISNUMBER(G29),H29,F29)))</f>
        <v/>
      </c>
      <c r="D30" s="22" t="str">
        <f aca="false">IF(C30="","",ROUND(C30*$C$8,2))</f>
        <v/>
      </c>
      <c r="E30" s="22" t="str">
        <f aca="false">IF(C30="","",ROUND(C30*$C$9,2))</f>
        <v/>
      </c>
      <c r="F30" s="22" t="str">
        <f aca="false">IF(C30="","",C30+D30)</f>
        <v/>
      </c>
      <c r="G30" s="23" t="str">
        <f aca="false">IF(OR(C30="",NOT(ISNUMBER(H30))),"",ROUND(H30-C30,2))</f>
        <v/>
      </c>
      <c r="H30" s="24"/>
      <c r="I30" s="25" t="str">
        <f aca="false">IF(C30="","",IF(ISNUMBER(G30),IF(G30&lt;-E30,"Actual – Loss (limit breached)",IF(G30&lt;0,"Actual – Loss",IF(G30&gt;0,"Actual – Profit","Actual – No trade"))),"Projection"))</f>
        <v/>
      </c>
      <c r="J30" s="26"/>
      <c r="K30" s="27"/>
    </row>
    <row r="31" customFormat="false" ht="15" hidden="false" customHeight="false" outlineLevel="0" collapsed="false">
      <c r="A31" s="20" t="str">
        <f aca="false">IF(C31="","",ROW()-12)</f>
        <v/>
      </c>
      <c r="B31" s="21" t="str">
        <f aca="false">IF(C31="","",WORKDAY($C$5-1,A31,'NSE Holidays'!$A$5:$A$64))</f>
        <v/>
      </c>
      <c r="C31" s="22" t="str">
        <f aca="false">IF(C30="","",IF(OR(IF(ISNUMBER(G30),H30,F30)&gt;=$C$7,IF(ISNUMBER(G30),H30,F30)&lt;=0),"",IF(ISNUMBER(G30),H30,F30)))</f>
        <v/>
      </c>
      <c r="D31" s="22" t="str">
        <f aca="false">IF(C31="","",ROUND(C31*$C$8,2))</f>
        <v/>
      </c>
      <c r="E31" s="22" t="str">
        <f aca="false">IF(C31="","",ROUND(C31*$C$9,2))</f>
        <v/>
      </c>
      <c r="F31" s="22" t="str">
        <f aca="false">IF(C31="","",C31+D31)</f>
        <v/>
      </c>
      <c r="G31" s="23" t="str">
        <f aca="false">IF(OR(C31="",NOT(ISNUMBER(H31))),"",ROUND(H31-C31,2))</f>
        <v/>
      </c>
      <c r="H31" s="24"/>
      <c r="I31" s="25" t="str">
        <f aca="false">IF(C31="","",IF(ISNUMBER(G31),IF(G31&lt;-E31,"Actual – Loss (limit breached)",IF(G31&lt;0,"Actual – Loss",IF(G31&gt;0,"Actual – Profit","Actual – No trade"))),"Projection"))</f>
        <v/>
      </c>
      <c r="J31" s="26"/>
      <c r="K31" s="27"/>
    </row>
    <row r="32" customFormat="false" ht="15" hidden="false" customHeight="false" outlineLevel="0" collapsed="false">
      <c r="A32" s="20" t="str">
        <f aca="false">IF(C32="","",ROW()-12)</f>
        <v/>
      </c>
      <c r="B32" s="21" t="str">
        <f aca="false">IF(C32="","",WORKDAY($C$5-1,A32,'NSE Holidays'!$A$5:$A$64))</f>
        <v/>
      </c>
      <c r="C32" s="22" t="str">
        <f aca="false">IF(C31="","",IF(OR(IF(ISNUMBER(G31),H31,F31)&gt;=$C$7,IF(ISNUMBER(G31),H31,F31)&lt;=0),"",IF(ISNUMBER(G31),H31,F31)))</f>
        <v/>
      </c>
      <c r="D32" s="22" t="str">
        <f aca="false">IF(C32="","",ROUND(C32*$C$8,2))</f>
        <v/>
      </c>
      <c r="E32" s="22" t="str">
        <f aca="false">IF(C32="","",ROUND(C32*$C$9,2))</f>
        <v/>
      </c>
      <c r="F32" s="22" t="str">
        <f aca="false">IF(C32="","",C32+D32)</f>
        <v/>
      </c>
      <c r="G32" s="23" t="str">
        <f aca="false">IF(OR(C32="",NOT(ISNUMBER(H32))),"",ROUND(H32-C32,2))</f>
        <v/>
      </c>
      <c r="H32" s="24"/>
      <c r="I32" s="25" t="str">
        <f aca="false">IF(C32="","",IF(ISNUMBER(G32),IF(G32&lt;-E32,"Actual – Loss (limit breached)",IF(G32&lt;0,"Actual – Loss",IF(G32&gt;0,"Actual – Profit","Actual – No trade"))),"Projection"))</f>
        <v/>
      </c>
      <c r="J32" s="26"/>
      <c r="K32" s="27"/>
    </row>
    <row r="33" customFormat="false" ht="15" hidden="false" customHeight="false" outlineLevel="0" collapsed="false">
      <c r="A33" s="20" t="str">
        <f aca="false">IF(C33="","",ROW()-12)</f>
        <v/>
      </c>
      <c r="B33" s="21" t="str">
        <f aca="false">IF(C33="","",WORKDAY($C$5-1,A33,'NSE Holidays'!$A$5:$A$64))</f>
        <v/>
      </c>
      <c r="C33" s="22" t="str">
        <f aca="false">IF(C32="","",IF(OR(IF(ISNUMBER(G32),H32,F32)&gt;=$C$7,IF(ISNUMBER(G32),H32,F32)&lt;=0),"",IF(ISNUMBER(G32),H32,F32)))</f>
        <v/>
      </c>
      <c r="D33" s="22" t="str">
        <f aca="false">IF(C33="","",ROUND(C33*$C$8,2))</f>
        <v/>
      </c>
      <c r="E33" s="22" t="str">
        <f aca="false">IF(C33="","",ROUND(C33*$C$9,2))</f>
        <v/>
      </c>
      <c r="F33" s="22" t="str">
        <f aca="false">IF(C33="","",C33+D33)</f>
        <v/>
      </c>
      <c r="G33" s="23" t="str">
        <f aca="false">IF(OR(C33="",NOT(ISNUMBER(H33))),"",ROUND(H33-C33,2))</f>
        <v/>
      </c>
      <c r="H33" s="24"/>
      <c r="I33" s="25" t="str">
        <f aca="false">IF(C33="","",IF(ISNUMBER(G33),IF(G33&lt;-E33,"Actual – Loss (limit breached)",IF(G33&lt;0,"Actual – Loss",IF(G33&gt;0,"Actual – Profit","Actual – No trade"))),"Projection"))</f>
        <v/>
      </c>
      <c r="J33" s="26"/>
      <c r="K33" s="27"/>
    </row>
    <row r="34" customFormat="false" ht="15" hidden="false" customHeight="false" outlineLevel="0" collapsed="false">
      <c r="A34" s="20" t="str">
        <f aca="false">IF(C34="","",ROW()-12)</f>
        <v/>
      </c>
      <c r="B34" s="21" t="str">
        <f aca="false">IF(C34="","",WORKDAY($C$5-1,A34,'NSE Holidays'!$A$5:$A$64))</f>
        <v/>
      </c>
      <c r="C34" s="22" t="str">
        <f aca="false">IF(C33="","",IF(OR(IF(ISNUMBER(G33),H33,F33)&gt;=$C$7,IF(ISNUMBER(G33),H33,F33)&lt;=0),"",IF(ISNUMBER(G33),H33,F33)))</f>
        <v/>
      </c>
      <c r="D34" s="22" t="str">
        <f aca="false">IF(C34="","",ROUND(C34*$C$8,2))</f>
        <v/>
      </c>
      <c r="E34" s="22" t="str">
        <f aca="false">IF(C34="","",ROUND(C34*$C$9,2))</f>
        <v/>
      </c>
      <c r="F34" s="22" t="str">
        <f aca="false">IF(C34="","",C34+D34)</f>
        <v/>
      </c>
      <c r="G34" s="23" t="str">
        <f aca="false">IF(OR(C34="",NOT(ISNUMBER(H34))),"",ROUND(H34-C34,2))</f>
        <v/>
      </c>
      <c r="H34" s="24"/>
      <c r="I34" s="25" t="str">
        <f aca="false">IF(C34="","",IF(ISNUMBER(G34),IF(G34&lt;-E34,"Actual – Loss (limit breached)",IF(G34&lt;0,"Actual – Loss",IF(G34&gt;0,"Actual – Profit","Actual – No trade"))),"Projection"))</f>
        <v/>
      </c>
      <c r="J34" s="26"/>
      <c r="K34" s="27"/>
    </row>
    <row r="35" customFormat="false" ht="15" hidden="false" customHeight="false" outlineLevel="0" collapsed="false">
      <c r="A35" s="20" t="str">
        <f aca="false">IF(C35="","",ROW()-12)</f>
        <v/>
      </c>
      <c r="B35" s="21" t="str">
        <f aca="false">IF(C35="","",WORKDAY($C$5-1,A35,'NSE Holidays'!$A$5:$A$64))</f>
        <v/>
      </c>
      <c r="C35" s="22" t="str">
        <f aca="false">IF(C34="","",IF(OR(IF(ISNUMBER(G34),H34,F34)&gt;=$C$7,IF(ISNUMBER(G34),H34,F34)&lt;=0),"",IF(ISNUMBER(G34),H34,F34)))</f>
        <v/>
      </c>
      <c r="D35" s="22" t="str">
        <f aca="false">IF(C35="","",ROUND(C35*$C$8,2))</f>
        <v/>
      </c>
      <c r="E35" s="22" t="str">
        <f aca="false">IF(C35="","",ROUND(C35*$C$9,2))</f>
        <v/>
      </c>
      <c r="F35" s="22" t="str">
        <f aca="false">IF(C35="","",C35+D35)</f>
        <v/>
      </c>
      <c r="G35" s="23" t="str">
        <f aca="false">IF(OR(C35="",NOT(ISNUMBER(H35))),"",ROUND(H35-C35,2))</f>
        <v/>
      </c>
      <c r="H35" s="24"/>
      <c r="I35" s="25" t="str">
        <f aca="false">IF(C35="","",IF(ISNUMBER(G35),IF(G35&lt;-E35,"Actual – Loss (limit breached)",IF(G35&lt;0,"Actual – Loss",IF(G35&gt;0,"Actual – Profit","Actual – No trade"))),"Projection"))</f>
        <v/>
      </c>
      <c r="J35" s="26"/>
      <c r="K35" s="27"/>
    </row>
    <row r="36" customFormat="false" ht="15" hidden="false" customHeight="false" outlineLevel="0" collapsed="false">
      <c r="A36" s="20" t="str">
        <f aca="false">IF(C36="","",ROW()-12)</f>
        <v/>
      </c>
      <c r="B36" s="21" t="str">
        <f aca="false">IF(C36="","",WORKDAY($C$5-1,A36,'NSE Holidays'!$A$5:$A$64))</f>
        <v/>
      </c>
      <c r="C36" s="22" t="str">
        <f aca="false">IF(C35="","",IF(OR(IF(ISNUMBER(G35),H35,F35)&gt;=$C$7,IF(ISNUMBER(G35),H35,F35)&lt;=0),"",IF(ISNUMBER(G35),H35,F35)))</f>
        <v/>
      </c>
      <c r="D36" s="22" t="str">
        <f aca="false">IF(C36="","",ROUND(C36*$C$8,2))</f>
        <v/>
      </c>
      <c r="E36" s="22" t="str">
        <f aca="false">IF(C36="","",ROUND(C36*$C$9,2))</f>
        <v/>
      </c>
      <c r="F36" s="22" t="str">
        <f aca="false">IF(C36="","",C36+D36)</f>
        <v/>
      </c>
      <c r="G36" s="23" t="str">
        <f aca="false">IF(OR(C36="",NOT(ISNUMBER(H36))),"",ROUND(H36-C36,2))</f>
        <v/>
      </c>
      <c r="H36" s="24"/>
      <c r="I36" s="25" t="str">
        <f aca="false">IF(C36="","",IF(ISNUMBER(G36),IF(G36&lt;-E36,"Actual – Loss (limit breached)",IF(G36&lt;0,"Actual – Loss",IF(G36&gt;0,"Actual – Profit","Actual – No trade"))),"Projection"))</f>
        <v/>
      </c>
      <c r="J36" s="26"/>
      <c r="K36" s="27"/>
    </row>
    <row r="37" customFormat="false" ht="15" hidden="false" customHeight="false" outlineLevel="0" collapsed="false">
      <c r="A37" s="20" t="str">
        <f aca="false">IF(C37="","",ROW()-12)</f>
        <v/>
      </c>
      <c r="B37" s="21" t="str">
        <f aca="false">IF(C37="","",WORKDAY($C$5-1,A37,'NSE Holidays'!$A$5:$A$64))</f>
        <v/>
      </c>
      <c r="C37" s="22" t="str">
        <f aca="false">IF(C36="","",IF(OR(IF(ISNUMBER(G36),H36,F36)&gt;=$C$7,IF(ISNUMBER(G36),H36,F36)&lt;=0),"",IF(ISNUMBER(G36),H36,F36)))</f>
        <v/>
      </c>
      <c r="D37" s="22" t="str">
        <f aca="false">IF(C37="","",ROUND(C37*$C$8,2))</f>
        <v/>
      </c>
      <c r="E37" s="22" t="str">
        <f aca="false">IF(C37="","",ROUND(C37*$C$9,2))</f>
        <v/>
      </c>
      <c r="F37" s="22" t="str">
        <f aca="false">IF(C37="","",C37+D37)</f>
        <v/>
      </c>
      <c r="G37" s="23" t="str">
        <f aca="false">IF(OR(C37="",NOT(ISNUMBER(H37))),"",ROUND(H37-C37,2))</f>
        <v/>
      </c>
      <c r="H37" s="24"/>
      <c r="I37" s="25" t="str">
        <f aca="false">IF(C37="","",IF(ISNUMBER(G37),IF(G37&lt;-E37,"Actual – Loss (limit breached)",IF(G37&lt;0,"Actual – Loss",IF(G37&gt;0,"Actual – Profit","Actual – No trade"))),"Projection"))</f>
        <v/>
      </c>
      <c r="J37" s="26"/>
      <c r="K37" s="27"/>
    </row>
    <row r="38" customFormat="false" ht="15" hidden="false" customHeight="false" outlineLevel="0" collapsed="false">
      <c r="A38" s="20" t="str">
        <f aca="false">IF(C38="","",ROW()-12)</f>
        <v/>
      </c>
      <c r="B38" s="21" t="str">
        <f aca="false">IF(C38="","",WORKDAY($C$5-1,A38,'NSE Holidays'!$A$5:$A$64))</f>
        <v/>
      </c>
      <c r="C38" s="22" t="str">
        <f aca="false">IF(C37="","",IF(OR(IF(ISNUMBER(G37),H37,F37)&gt;=$C$7,IF(ISNUMBER(G37),H37,F37)&lt;=0),"",IF(ISNUMBER(G37),H37,F37)))</f>
        <v/>
      </c>
      <c r="D38" s="22" t="str">
        <f aca="false">IF(C38="","",ROUND(C38*$C$8,2))</f>
        <v/>
      </c>
      <c r="E38" s="22" t="str">
        <f aca="false">IF(C38="","",ROUND(C38*$C$9,2))</f>
        <v/>
      </c>
      <c r="F38" s="22" t="str">
        <f aca="false">IF(C38="","",C38+D38)</f>
        <v/>
      </c>
      <c r="G38" s="23" t="str">
        <f aca="false">IF(OR(C38="",NOT(ISNUMBER(H38))),"",ROUND(H38-C38,2))</f>
        <v/>
      </c>
      <c r="H38" s="24"/>
      <c r="I38" s="25" t="str">
        <f aca="false">IF(C38="","",IF(ISNUMBER(G38),IF(G38&lt;-E38,"Actual – Loss (limit breached)",IF(G38&lt;0,"Actual – Loss",IF(G38&gt;0,"Actual – Profit","Actual – No trade"))),"Projection"))</f>
        <v/>
      </c>
      <c r="J38" s="26"/>
      <c r="K38" s="27"/>
    </row>
    <row r="39" customFormat="false" ht="15" hidden="false" customHeight="false" outlineLevel="0" collapsed="false">
      <c r="A39" s="20" t="str">
        <f aca="false">IF(C39="","",ROW()-12)</f>
        <v/>
      </c>
      <c r="B39" s="21" t="str">
        <f aca="false">IF(C39="","",WORKDAY($C$5-1,A39,'NSE Holidays'!$A$5:$A$64))</f>
        <v/>
      </c>
      <c r="C39" s="22" t="str">
        <f aca="false">IF(C38="","",IF(OR(IF(ISNUMBER(G38),H38,F38)&gt;=$C$7,IF(ISNUMBER(G38),H38,F38)&lt;=0),"",IF(ISNUMBER(G38),H38,F38)))</f>
        <v/>
      </c>
      <c r="D39" s="22" t="str">
        <f aca="false">IF(C39="","",ROUND(C39*$C$8,2))</f>
        <v/>
      </c>
      <c r="E39" s="22" t="str">
        <f aca="false">IF(C39="","",ROUND(C39*$C$9,2))</f>
        <v/>
      </c>
      <c r="F39" s="22" t="str">
        <f aca="false">IF(C39="","",C39+D39)</f>
        <v/>
      </c>
      <c r="G39" s="23" t="str">
        <f aca="false">IF(OR(C39="",NOT(ISNUMBER(H39))),"",ROUND(H39-C39,2))</f>
        <v/>
      </c>
      <c r="H39" s="24"/>
      <c r="I39" s="25" t="str">
        <f aca="false">IF(C39="","",IF(ISNUMBER(G39),IF(G39&lt;-E39,"Actual – Loss (limit breached)",IF(G39&lt;0,"Actual – Loss",IF(G39&gt;0,"Actual – Profit","Actual – No trade"))),"Projection"))</f>
        <v/>
      </c>
      <c r="J39" s="26"/>
      <c r="K39" s="27"/>
    </row>
    <row r="40" customFormat="false" ht="15" hidden="false" customHeight="false" outlineLevel="0" collapsed="false">
      <c r="A40" s="20" t="str">
        <f aca="false">IF(C40="","",ROW()-12)</f>
        <v/>
      </c>
      <c r="B40" s="21" t="str">
        <f aca="false">IF(C40="","",WORKDAY($C$5-1,A40,'NSE Holidays'!$A$5:$A$64))</f>
        <v/>
      </c>
      <c r="C40" s="22" t="str">
        <f aca="false">IF(C39="","",IF(OR(IF(ISNUMBER(G39),H39,F39)&gt;=$C$7,IF(ISNUMBER(G39),H39,F39)&lt;=0),"",IF(ISNUMBER(G39),H39,F39)))</f>
        <v/>
      </c>
      <c r="D40" s="22" t="str">
        <f aca="false">IF(C40="","",ROUND(C40*$C$8,2))</f>
        <v/>
      </c>
      <c r="E40" s="22" t="str">
        <f aca="false">IF(C40="","",ROUND(C40*$C$9,2))</f>
        <v/>
      </c>
      <c r="F40" s="22" t="str">
        <f aca="false">IF(C40="","",C40+D40)</f>
        <v/>
      </c>
      <c r="G40" s="23" t="str">
        <f aca="false">IF(OR(C40="",NOT(ISNUMBER(H40))),"",ROUND(H40-C40,2))</f>
        <v/>
      </c>
      <c r="H40" s="24"/>
      <c r="I40" s="25" t="str">
        <f aca="false">IF(C40="","",IF(ISNUMBER(G40),IF(G40&lt;-E40,"Actual – Loss (limit breached)",IF(G40&lt;0,"Actual – Loss",IF(G40&gt;0,"Actual – Profit","Actual – No trade"))),"Projection"))</f>
        <v/>
      </c>
      <c r="J40" s="26"/>
      <c r="K40" s="27"/>
    </row>
    <row r="41" customFormat="false" ht="15" hidden="false" customHeight="false" outlineLevel="0" collapsed="false">
      <c r="A41" s="20" t="str">
        <f aca="false">IF(C41="","",ROW()-12)</f>
        <v/>
      </c>
      <c r="B41" s="21" t="str">
        <f aca="false">IF(C41="","",WORKDAY($C$5-1,A41,'NSE Holidays'!$A$5:$A$64))</f>
        <v/>
      </c>
      <c r="C41" s="22" t="str">
        <f aca="false">IF(C40="","",IF(OR(IF(ISNUMBER(G40),H40,F40)&gt;=$C$7,IF(ISNUMBER(G40),H40,F40)&lt;=0),"",IF(ISNUMBER(G40),H40,F40)))</f>
        <v/>
      </c>
      <c r="D41" s="22" t="str">
        <f aca="false">IF(C41="","",ROUND(C41*$C$8,2))</f>
        <v/>
      </c>
      <c r="E41" s="22" t="str">
        <f aca="false">IF(C41="","",ROUND(C41*$C$9,2))</f>
        <v/>
      </c>
      <c r="F41" s="22" t="str">
        <f aca="false">IF(C41="","",C41+D41)</f>
        <v/>
      </c>
      <c r="G41" s="23" t="str">
        <f aca="false">IF(OR(C41="",NOT(ISNUMBER(H41))),"",ROUND(H41-C41,2))</f>
        <v/>
      </c>
      <c r="H41" s="24"/>
      <c r="I41" s="25" t="str">
        <f aca="false">IF(C41="","",IF(ISNUMBER(G41),IF(G41&lt;-E41,"Actual – Loss (limit breached)",IF(G41&lt;0,"Actual – Loss",IF(G41&gt;0,"Actual – Profit","Actual – No trade"))),"Projection"))</f>
        <v/>
      </c>
      <c r="J41" s="26"/>
      <c r="K41" s="27"/>
    </row>
    <row r="42" customFormat="false" ht="15" hidden="false" customHeight="false" outlineLevel="0" collapsed="false">
      <c r="A42" s="20" t="str">
        <f aca="false">IF(C42="","",ROW()-12)</f>
        <v/>
      </c>
      <c r="B42" s="21" t="str">
        <f aca="false">IF(C42="","",WORKDAY($C$5-1,A42,'NSE Holidays'!$A$5:$A$64))</f>
        <v/>
      </c>
      <c r="C42" s="22" t="str">
        <f aca="false">IF(C41="","",IF(OR(IF(ISNUMBER(G41),H41,F41)&gt;=$C$7,IF(ISNUMBER(G41),H41,F41)&lt;=0),"",IF(ISNUMBER(G41),H41,F41)))</f>
        <v/>
      </c>
      <c r="D42" s="22" t="str">
        <f aca="false">IF(C42="","",ROUND(C42*$C$8,2))</f>
        <v/>
      </c>
      <c r="E42" s="22" t="str">
        <f aca="false">IF(C42="","",ROUND(C42*$C$9,2))</f>
        <v/>
      </c>
      <c r="F42" s="22" t="str">
        <f aca="false">IF(C42="","",C42+D42)</f>
        <v/>
      </c>
      <c r="G42" s="23" t="str">
        <f aca="false">IF(OR(C42="",NOT(ISNUMBER(H42))),"",ROUND(H42-C42,2))</f>
        <v/>
      </c>
      <c r="H42" s="24"/>
      <c r="I42" s="25" t="str">
        <f aca="false">IF(C42="","",IF(ISNUMBER(G42),IF(G42&lt;-E42,"Actual – Loss (limit breached)",IF(G42&lt;0,"Actual – Loss",IF(G42&gt;0,"Actual – Profit","Actual – No trade"))),"Projection"))</f>
        <v/>
      </c>
      <c r="J42" s="26"/>
      <c r="K42" s="27"/>
    </row>
    <row r="43" customFormat="false" ht="15" hidden="false" customHeight="false" outlineLevel="0" collapsed="false">
      <c r="A43" s="20" t="str">
        <f aca="false">IF(C43="","",ROW()-12)</f>
        <v/>
      </c>
      <c r="B43" s="21" t="str">
        <f aca="false">IF(C43="","",WORKDAY($C$5-1,A43,'NSE Holidays'!$A$5:$A$64))</f>
        <v/>
      </c>
      <c r="C43" s="22" t="str">
        <f aca="false">IF(C42="","",IF(OR(IF(ISNUMBER(G42),H42,F42)&gt;=$C$7,IF(ISNUMBER(G42),H42,F42)&lt;=0),"",IF(ISNUMBER(G42),H42,F42)))</f>
        <v/>
      </c>
      <c r="D43" s="22" t="str">
        <f aca="false">IF(C43="","",ROUND(C43*$C$8,2))</f>
        <v/>
      </c>
      <c r="E43" s="22" t="str">
        <f aca="false">IF(C43="","",ROUND(C43*$C$9,2))</f>
        <v/>
      </c>
      <c r="F43" s="22" t="str">
        <f aca="false">IF(C43="","",C43+D43)</f>
        <v/>
      </c>
      <c r="G43" s="23" t="str">
        <f aca="false">IF(OR(C43="",NOT(ISNUMBER(H43))),"",ROUND(H43-C43,2))</f>
        <v/>
      </c>
      <c r="H43" s="24"/>
      <c r="I43" s="25" t="str">
        <f aca="false">IF(C43="","",IF(ISNUMBER(G43),IF(G43&lt;-E43,"Actual – Loss (limit breached)",IF(G43&lt;0,"Actual – Loss",IF(G43&gt;0,"Actual – Profit","Actual – No trade"))),"Projection"))</f>
        <v/>
      </c>
      <c r="J43" s="26"/>
      <c r="K43" s="27"/>
    </row>
    <row r="44" customFormat="false" ht="15" hidden="false" customHeight="false" outlineLevel="0" collapsed="false">
      <c r="A44" s="20" t="str">
        <f aca="false">IF(C44="","",ROW()-12)</f>
        <v/>
      </c>
      <c r="B44" s="21" t="str">
        <f aca="false">IF(C44="","",WORKDAY($C$5-1,A44,'NSE Holidays'!$A$5:$A$64))</f>
        <v/>
      </c>
      <c r="C44" s="22" t="str">
        <f aca="false">IF(C43="","",IF(OR(IF(ISNUMBER(G43),H43,F43)&gt;=$C$7,IF(ISNUMBER(G43),H43,F43)&lt;=0),"",IF(ISNUMBER(G43),H43,F43)))</f>
        <v/>
      </c>
      <c r="D44" s="22" t="str">
        <f aca="false">IF(C44="","",ROUND(C44*$C$8,2))</f>
        <v/>
      </c>
      <c r="E44" s="22" t="str">
        <f aca="false">IF(C44="","",ROUND(C44*$C$9,2))</f>
        <v/>
      </c>
      <c r="F44" s="22" t="str">
        <f aca="false">IF(C44="","",C44+D44)</f>
        <v/>
      </c>
      <c r="G44" s="23" t="str">
        <f aca="false">IF(OR(C44="",NOT(ISNUMBER(H44))),"",ROUND(H44-C44,2))</f>
        <v/>
      </c>
      <c r="H44" s="24"/>
      <c r="I44" s="25" t="str">
        <f aca="false">IF(C44="","",IF(ISNUMBER(G44),IF(G44&lt;-E44,"Actual – Loss (limit breached)",IF(G44&lt;0,"Actual – Loss",IF(G44&gt;0,"Actual – Profit","Actual – No trade"))),"Projection"))</f>
        <v/>
      </c>
      <c r="J44" s="26"/>
      <c r="K44" s="27"/>
    </row>
    <row r="45" customFormat="false" ht="15" hidden="false" customHeight="false" outlineLevel="0" collapsed="false">
      <c r="A45" s="20" t="str">
        <f aca="false">IF(C45="","",ROW()-12)</f>
        <v/>
      </c>
      <c r="B45" s="21" t="str">
        <f aca="false">IF(C45="","",WORKDAY($C$5-1,A45,'NSE Holidays'!$A$5:$A$64))</f>
        <v/>
      </c>
      <c r="C45" s="22" t="str">
        <f aca="false">IF(C44="","",IF(OR(IF(ISNUMBER(G44),H44,F44)&gt;=$C$7,IF(ISNUMBER(G44),H44,F44)&lt;=0),"",IF(ISNUMBER(G44),H44,F44)))</f>
        <v/>
      </c>
      <c r="D45" s="22" t="str">
        <f aca="false">IF(C45="","",ROUND(C45*$C$8,2))</f>
        <v/>
      </c>
      <c r="E45" s="22" t="str">
        <f aca="false">IF(C45="","",ROUND(C45*$C$9,2))</f>
        <v/>
      </c>
      <c r="F45" s="22" t="str">
        <f aca="false">IF(C45="","",C45+D45)</f>
        <v/>
      </c>
      <c r="G45" s="23" t="str">
        <f aca="false">IF(OR(C45="",NOT(ISNUMBER(H45))),"",ROUND(H45-C45,2))</f>
        <v/>
      </c>
      <c r="H45" s="24"/>
      <c r="I45" s="25" t="str">
        <f aca="false">IF(C45="","",IF(ISNUMBER(G45),IF(G45&lt;-E45,"Actual – Loss (limit breached)",IF(G45&lt;0,"Actual – Loss",IF(G45&gt;0,"Actual – Profit","Actual – No trade"))),"Projection"))</f>
        <v/>
      </c>
      <c r="J45" s="26"/>
      <c r="K45" s="27"/>
    </row>
    <row r="46" customFormat="false" ht="15" hidden="false" customHeight="false" outlineLevel="0" collapsed="false">
      <c r="A46" s="20" t="str">
        <f aca="false">IF(C46="","",ROW()-12)</f>
        <v/>
      </c>
      <c r="B46" s="21" t="str">
        <f aca="false">IF(C46="","",WORKDAY($C$5-1,A46,'NSE Holidays'!$A$5:$A$64))</f>
        <v/>
      </c>
      <c r="C46" s="22" t="str">
        <f aca="false">IF(C45="","",IF(OR(IF(ISNUMBER(G45),H45,F45)&gt;=$C$7,IF(ISNUMBER(G45),H45,F45)&lt;=0),"",IF(ISNUMBER(G45),H45,F45)))</f>
        <v/>
      </c>
      <c r="D46" s="22" t="str">
        <f aca="false">IF(C46="","",ROUND(C46*$C$8,2))</f>
        <v/>
      </c>
      <c r="E46" s="22" t="str">
        <f aca="false">IF(C46="","",ROUND(C46*$C$9,2))</f>
        <v/>
      </c>
      <c r="F46" s="22" t="str">
        <f aca="false">IF(C46="","",C46+D46)</f>
        <v/>
      </c>
      <c r="G46" s="23" t="str">
        <f aca="false">IF(OR(C46="",NOT(ISNUMBER(H46))),"",ROUND(H46-C46,2))</f>
        <v/>
      </c>
      <c r="H46" s="24"/>
      <c r="I46" s="25" t="str">
        <f aca="false">IF(C46="","",IF(ISNUMBER(G46),IF(G46&lt;-E46,"Actual – Loss (limit breached)",IF(G46&lt;0,"Actual – Loss",IF(G46&gt;0,"Actual – Profit","Actual – No trade"))),"Projection"))</f>
        <v/>
      </c>
      <c r="J46" s="26"/>
      <c r="K46" s="27"/>
    </row>
    <row r="47" customFormat="false" ht="15" hidden="false" customHeight="false" outlineLevel="0" collapsed="false">
      <c r="A47" s="20" t="str">
        <f aca="false">IF(C47="","",ROW()-12)</f>
        <v/>
      </c>
      <c r="B47" s="21" t="str">
        <f aca="false">IF(C47="","",WORKDAY($C$5-1,A47,'NSE Holidays'!$A$5:$A$64))</f>
        <v/>
      </c>
      <c r="C47" s="22" t="str">
        <f aca="false">IF(C46="","",IF(OR(IF(ISNUMBER(G46),H46,F46)&gt;=$C$7,IF(ISNUMBER(G46),H46,F46)&lt;=0),"",IF(ISNUMBER(G46),H46,F46)))</f>
        <v/>
      </c>
      <c r="D47" s="22" t="str">
        <f aca="false">IF(C47="","",ROUND(C47*$C$8,2))</f>
        <v/>
      </c>
      <c r="E47" s="22" t="str">
        <f aca="false">IF(C47="","",ROUND(C47*$C$9,2))</f>
        <v/>
      </c>
      <c r="F47" s="22" t="str">
        <f aca="false">IF(C47="","",C47+D47)</f>
        <v/>
      </c>
      <c r="G47" s="23" t="str">
        <f aca="false">IF(OR(C47="",NOT(ISNUMBER(H47))),"",ROUND(H47-C47,2))</f>
        <v/>
      </c>
      <c r="H47" s="24"/>
      <c r="I47" s="25" t="str">
        <f aca="false">IF(C47="","",IF(ISNUMBER(G47),IF(G47&lt;-E47,"Actual – Loss (limit breached)",IF(G47&lt;0,"Actual – Loss",IF(G47&gt;0,"Actual – Profit","Actual – No trade"))),"Projection"))</f>
        <v/>
      </c>
      <c r="J47" s="26"/>
      <c r="K47" s="27"/>
    </row>
    <row r="48" customFormat="false" ht="15" hidden="false" customHeight="false" outlineLevel="0" collapsed="false">
      <c r="A48" s="20" t="str">
        <f aca="false">IF(C48="","",ROW()-12)</f>
        <v/>
      </c>
      <c r="B48" s="21" t="str">
        <f aca="false">IF(C48="","",WORKDAY($C$5-1,A48,'NSE Holidays'!$A$5:$A$64))</f>
        <v/>
      </c>
      <c r="C48" s="22" t="str">
        <f aca="false">IF(C47="","",IF(OR(IF(ISNUMBER(G47),H47,F47)&gt;=$C$7,IF(ISNUMBER(G47),H47,F47)&lt;=0),"",IF(ISNUMBER(G47),H47,F47)))</f>
        <v/>
      </c>
      <c r="D48" s="22" t="str">
        <f aca="false">IF(C48="","",ROUND(C48*$C$8,2))</f>
        <v/>
      </c>
      <c r="E48" s="22" t="str">
        <f aca="false">IF(C48="","",ROUND(C48*$C$9,2))</f>
        <v/>
      </c>
      <c r="F48" s="22" t="str">
        <f aca="false">IF(C48="","",C48+D48)</f>
        <v/>
      </c>
      <c r="G48" s="23" t="str">
        <f aca="false">IF(OR(C48="",NOT(ISNUMBER(H48))),"",ROUND(H48-C48,2))</f>
        <v/>
      </c>
      <c r="H48" s="24"/>
      <c r="I48" s="25" t="str">
        <f aca="false">IF(C48="","",IF(ISNUMBER(G48),IF(G48&lt;-E48,"Actual – Loss (limit breached)",IF(G48&lt;0,"Actual – Loss",IF(G48&gt;0,"Actual – Profit","Actual – No trade"))),"Projection"))</f>
        <v/>
      </c>
      <c r="J48" s="26"/>
      <c r="K48" s="27"/>
    </row>
    <row r="49" customFormat="false" ht="15" hidden="false" customHeight="false" outlineLevel="0" collapsed="false">
      <c r="A49" s="20" t="str">
        <f aca="false">IF(C49="","",ROW()-12)</f>
        <v/>
      </c>
      <c r="B49" s="21" t="str">
        <f aca="false">IF(C49="","",WORKDAY($C$5-1,A49,'NSE Holidays'!$A$5:$A$64))</f>
        <v/>
      </c>
      <c r="C49" s="22" t="str">
        <f aca="false">IF(C48="","",IF(OR(IF(ISNUMBER(G48),H48,F48)&gt;=$C$7,IF(ISNUMBER(G48),H48,F48)&lt;=0),"",IF(ISNUMBER(G48),H48,F48)))</f>
        <v/>
      </c>
      <c r="D49" s="22" t="str">
        <f aca="false">IF(C49="","",ROUND(C49*$C$8,2))</f>
        <v/>
      </c>
      <c r="E49" s="22" t="str">
        <f aca="false">IF(C49="","",ROUND(C49*$C$9,2))</f>
        <v/>
      </c>
      <c r="F49" s="22" t="str">
        <f aca="false">IF(C49="","",C49+D49)</f>
        <v/>
      </c>
      <c r="G49" s="23" t="str">
        <f aca="false">IF(OR(C49="",NOT(ISNUMBER(H49))),"",ROUND(H49-C49,2))</f>
        <v/>
      </c>
      <c r="H49" s="24"/>
      <c r="I49" s="25" t="str">
        <f aca="false">IF(C49="","",IF(ISNUMBER(G49),IF(G49&lt;-E49,"Actual – Loss (limit breached)",IF(G49&lt;0,"Actual – Loss",IF(G49&gt;0,"Actual – Profit","Actual – No trade"))),"Projection"))</f>
        <v/>
      </c>
      <c r="J49" s="26"/>
      <c r="K49" s="27"/>
    </row>
    <row r="50" customFormat="false" ht="15" hidden="false" customHeight="false" outlineLevel="0" collapsed="false">
      <c r="A50" s="20" t="str">
        <f aca="false">IF(C50="","",ROW()-12)</f>
        <v/>
      </c>
      <c r="B50" s="21" t="str">
        <f aca="false">IF(C50="","",WORKDAY($C$5-1,A50,'NSE Holidays'!$A$5:$A$64))</f>
        <v/>
      </c>
      <c r="C50" s="22" t="str">
        <f aca="false">IF(C49="","",IF(OR(IF(ISNUMBER(G49),H49,F49)&gt;=$C$7,IF(ISNUMBER(G49),H49,F49)&lt;=0),"",IF(ISNUMBER(G49),H49,F49)))</f>
        <v/>
      </c>
      <c r="D50" s="22" t="str">
        <f aca="false">IF(C50="","",ROUND(C50*$C$8,2))</f>
        <v/>
      </c>
      <c r="E50" s="22" t="str">
        <f aca="false">IF(C50="","",ROUND(C50*$C$9,2))</f>
        <v/>
      </c>
      <c r="F50" s="22" t="str">
        <f aca="false">IF(C50="","",C50+D50)</f>
        <v/>
      </c>
      <c r="G50" s="23" t="str">
        <f aca="false">IF(OR(C50="",NOT(ISNUMBER(H50))),"",ROUND(H50-C50,2))</f>
        <v/>
      </c>
      <c r="H50" s="24"/>
      <c r="I50" s="25" t="str">
        <f aca="false">IF(C50="","",IF(ISNUMBER(G50),IF(G50&lt;-E50,"Actual – Loss (limit breached)",IF(G50&lt;0,"Actual – Loss",IF(G50&gt;0,"Actual – Profit","Actual – No trade"))),"Projection"))</f>
        <v/>
      </c>
      <c r="J50" s="26"/>
      <c r="K50" s="27"/>
    </row>
    <row r="51" customFormat="false" ht="15" hidden="false" customHeight="false" outlineLevel="0" collapsed="false">
      <c r="A51" s="20" t="str">
        <f aca="false">IF(C51="","",ROW()-12)</f>
        <v/>
      </c>
      <c r="B51" s="21" t="str">
        <f aca="false">IF(C51="","",WORKDAY($C$5-1,A51,'NSE Holidays'!$A$5:$A$64))</f>
        <v/>
      </c>
      <c r="C51" s="22" t="str">
        <f aca="false">IF(C50="","",IF(OR(IF(ISNUMBER(G50),H50,F50)&gt;=$C$7,IF(ISNUMBER(G50),H50,F50)&lt;=0),"",IF(ISNUMBER(G50),H50,F50)))</f>
        <v/>
      </c>
      <c r="D51" s="22" t="str">
        <f aca="false">IF(C51="","",ROUND(C51*$C$8,2))</f>
        <v/>
      </c>
      <c r="E51" s="22" t="str">
        <f aca="false">IF(C51="","",ROUND(C51*$C$9,2))</f>
        <v/>
      </c>
      <c r="F51" s="22" t="str">
        <f aca="false">IF(C51="","",C51+D51)</f>
        <v/>
      </c>
      <c r="G51" s="23" t="str">
        <f aca="false">IF(OR(C51="",NOT(ISNUMBER(H51))),"",ROUND(H51-C51,2))</f>
        <v/>
      </c>
      <c r="H51" s="24"/>
      <c r="I51" s="25" t="str">
        <f aca="false">IF(C51="","",IF(ISNUMBER(G51),IF(G51&lt;-E51,"Actual – Loss (limit breached)",IF(G51&lt;0,"Actual – Loss",IF(G51&gt;0,"Actual – Profit","Actual – No trade"))),"Projection"))</f>
        <v/>
      </c>
      <c r="J51" s="26"/>
      <c r="K51" s="27"/>
    </row>
    <row r="52" customFormat="false" ht="15" hidden="false" customHeight="false" outlineLevel="0" collapsed="false">
      <c r="A52" s="20" t="str">
        <f aca="false">IF(C52="","",ROW()-12)</f>
        <v/>
      </c>
      <c r="B52" s="21" t="str">
        <f aca="false">IF(C52="","",WORKDAY($C$5-1,A52,'NSE Holidays'!$A$5:$A$64))</f>
        <v/>
      </c>
      <c r="C52" s="22" t="str">
        <f aca="false">IF(C51="","",IF(OR(IF(ISNUMBER(G51),H51,F51)&gt;=$C$7,IF(ISNUMBER(G51),H51,F51)&lt;=0),"",IF(ISNUMBER(G51),H51,F51)))</f>
        <v/>
      </c>
      <c r="D52" s="22" t="str">
        <f aca="false">IF(C52="","",ROUND(C52*$C$8,2))</f>
        <v/>
      </c>
      <c r="E52" s="22" t="str">
        <f aca="false">IF(C52="","",ROUND(C52*$C$9,2))</f>
        <v/>
      </c>
      <c r="F52" s="22" t="str">
        <f aca="false">IF(C52="","",C52+D52)</f>
        <v/>
      </c>
      <c r="G52" s="23" t="str">
        <f aca="false">IF(OR(C52="",NOT(ISNUMBER(H52))),"",ROUND(H52-C52,2))</f>
        <v/>
      </c>
      <c r="H52" s="24"/>
      <c r="I52" s="25" t="str">
        <f aca="false">IF(C52="","",IF(ISNUMBER(G52),IF(G52&lt;-E52,"Actual – Loss (limit breached)",IF(G52&lt;0,"Actual – Loss",IF(G52&gt;0,"Actual – Profit","Actual – No trade"))),"Projection"))</f>
        <v/>
      </c>
      <c r="J52" s="26"/>
      <c r="K52" s="27"/>
    </row>
    <row r="53" customFormat="false" ht="15" hidden="false" customHeight="false" outlineLevel="0" collapsed="false">
      <c r="A53" s="20" t="str">
        <f aca="false">IF(C53="","",ROW()-12)</f>
        <v/>
      </c>
      <c r="B53" s="21" t="str">
        <f aca="false">IF(C53="","",WORKDAY($C$5-1,A53,'NSE Holidays'!$A$5:$A$64))</f>
        <v/>
      </c>
      <c r="C53" s="22" t="str">
        <f aca="false">IF(C52="","",IF(OR(IF(ISNUMBER(G52),H52,F52)&gt;=$C$7,IF(ISNUMBER(G52),H52,F52)&lt;=0),"",IF(ISNUMBER(G52),H52,F52)))</f>
        <v/>
      </c>
      <c r="D53" s="22" t="str">
        <f aca="false">IF(C53="","",ROUND(C53*$C$8,2))</f>
        <v/>
      </c>
      <c r="E53" s="22" t="str">
        <f aca="false">IF(C53="","",ROUND(C53*$C$9,2))</f>
        <v/>
      </c>
      <c r="F53" s="22" t="str">
        <f aca="false">IF(C53="","",C53+D53)</f>
        <v/>
      </c>
      <c r="G53" s="23" t="str">
        <f aca="false">IF(OR(C53="",NOT(ISNUMBER(H53))),"",ROUND(H53-C53,2))</f>
        <v/>
      </c>
      <c r="H53" s="24"/>
      <c r="I53" s="25" t="str">
        <f aca="false">IF(C53="","",IF(ISNUMBER(G53),IF(G53&lt;-E53,"Actual – Loss (limit breached)",IF(G53&lt;0,"Actual – Loss",IF(G53&gt;0,"Actual – Profit","Actual – No trade"))),"Projection"))</f>
        <v/>
      </c>
      <c r="J53" s="26"/>
      <c r="K53" s="27"/>
    </row>
    <row r="54" customFormat="false" ht="15" hidden="false" customHeight="false" outlineLevel="0" collapsed="false">
      <c r="A54" s="20" t="str">
        <f aca="false">IF(C54="","",ROW()-12)</f>
        <v/>
      </c>
      <c r="B54" s="21" t="str">
        <f aca="false">IF(C54="","",WORKDAY($C$5-1,A54,'NSE Holidays'!$A$5:$A$64))</f>
        <v/>
      </c>
      <c r="C54" s="22" t="str">
        <f aca="false">IF(C53="","",IF(OR(IF(ISNUMBER(G53),H53,F53)&gt;=$C$7,IF(ISNUMBER(G53),H53,F53)&lt;=0),"",IF(ISNUMBER(G53),H53,F53)))</f>
        <v/>
      </c>
      <c r="D54" s="22" t="str">
        <f aca="false">IF(C54="","",ROUND(C54*$C$8,2))</f>
        <v/>
      </c>
      <c r="E54" s="22" t="str">
        <f aca="false">IF(C54="","",ROUND(C54*$C$9,2))</f>
        <v/>
      </c>
      <c r="F54" s="22" t="str">
        <f aca="false">IF(C54="","",C54+D54)</f>
        <v/>
      </c>
      <c r="G54" s="23" t="str">
        <f aca="false">IF(OR(C54="",NOT(ISNUMBER(H54))),"",ROUND(H54-C54,2))</f>
        <v/>
      </c>
      <c r="H54" s="24"/>
      <c r="I54" s="25" t="str">
        <f aca="false">IF(C54="","",IF(ISNUMBER(G54),IF(G54&lt;-E54,"Actual – Loss (limit breached)",IF(G54&lt;0,"Actual – Loss",IF(G54&gt;0,"Actual – Profit","Actual – No trade"))),"Projection"))</f>
        <v/>
      </c>
      <c r="J54" s="26"/>
      <c r="K54" s="27"/>
    </row>
    <row r="55" customFormat="false" ht="15" hidden="false" customHeight="false" outlineLevel="0" collapsed="false">
      <c r="A55" s="20" t="str">
        <f aca="false">IF(C55="","",ROW()-12)</f>
        <v/>
      </c>
      <c r="B55" s="21" t="str">
        <f aca="false">IF(C55="","",WORKDAY($C$5-1,A55,'NSE Holidays'!$A$5:$A$64))</f>
        <v/>
      </c>
      <c r="C55" s="22" t="str">
        <f aca="false">IF(C54="","",IF(OR(IF(ISNUMBER(G54),H54,F54)&gt;=$C$7,IF(ISNUMBER(G54),H54,F54)&lt;=0),"",IF(ISNUMBER(G54),H54,F54)))</f>
        <v/>
      </c>
      <c r="D55" s="22" t="str">
        <f aca="false">IF(C55="","",ROUND(C55*$C$8,2))</f>
        <v/>
      </c>
      <c r="E55" s="22" t="str">
        <f aca="false">IF(C55="","",ROUND(C55*$C$9,2))</f>
        <v/>
      </c>
      <c r="F55" s="22" t="str">
        <f aca="false">IF(C55="","",C55+D55)</f>
        <v/>
      </c>
      <c r="G55" s="23" t="str">
        <f aca="false">IF(OR(C55="",NOT(ISNUMBER(H55))),"",ROUND(H55-C55,2))</f>
        <v/>
      </c>
      <c r="H55" s="24"/>
      <c r="I55" s="25" t="str">
        <f aca="false">IF(C55="","",IF(ISNUMBER(G55),IF(G55&lt;-E55,"Actual – Loss (limit breached)",IF(G55&lt;0,"Actual – Loss",IF(G55&gt;0,"Actual – Profit","Actual – No trade"))),"Projection"))</f>
        <v/>
      </c>
      <c r="J55" s="26"/>
      <c r="K55" s="27"/>
    </row>
    <row r="56" customFormat="false" ht="15" hidden="false" customHeight="false" outlineLevel="0" collapsed="false">
      <c r="A56" s="20" t="str">
        <f aca="false">IF(C56="","",ROW()-12)</f>
        <v/>
      </c>
      <c r="B56" s="21" t="str">
        <f aca="false">IF(C56="","",WORKDAY($C$5-1,A56,'NSE Holidays'!$A$5:$A$64))</f>
        <v/>
      </c>
      <c r="C56" s="22" t="str">
        <f aca="false">IF(C55="","",IF(OR(IF(ISNUMBER(G55),H55,F55)&gt;=$C$7,IF(ISNUMBER(G55),H55,F55)&lt;=0),"",IF(ISNUMBER(G55),H55,F55)))</f>
        <v/>
      </c>
      <c r="D56" s="22" t="str">
        <f aca="false">IF(C56="","",ROUND(C56*$C$8,2))</f>
        <v/>
      </c>
      <c r="E56" s="22" t="str">
        <f aca="false">IF(C56="","",ROUND(C56*$C$9,2))</f>
        <v/>
      </c>
      <c r="F56" s="22" t="str">
        <f aca="false">IF(C56="","",C56+D56)</f>
        <v/>
      </c>
      <c r="G56" s="23" t="str">
        <f aca="false">IF(OR(C56="",NOT(ISNUMBER(H56))),"",ROUND(H56-C56,2))</f>
        <v/>
      </c>
      <c r="H56" s="24"/>
      <c r="I56" s="25" t="str">
        <f aca="false">IF(C56="","",IF(ISNUMBER(G56),IF(G56&lt;-E56,"Actual – Loss (limit breached)",IF(G56&lt;0,"Actual – Loss",IF(G56&gt;0,"Actual – Profit","Actual – No trade"))),"Projection"))</f>
        <v/>
      </c>
      <c r="J56" s="26"/>
      <c r="K56" s="27"/>
    </row>
    <row r="57" customFormat="false" ht="15" hidden="false" customHeight="false" outlineLevel="0" collapsed="false">
      <c r="A57" s="20" t="str">
        <f aca="false">IF(C57="","",ROW()-12)</f>
        <v/>
      </c>
      <c r="B57" s="21" t="str">
        <f aca="false">IF(C57="","",WORKDAY($C$5-1,A57,'NSE Holidays'!$A$5:$A$64))</f>
        <v/>
      </c>
      <c r="C57" s="22" t="str">
        <f aca="false">IF(C56="","",IF(OR(IF(ISNUMBER(G56),H56,F56)&gt;=$C$7,IF(ISNUMBER(G56),H56,F56)&lt;=0),"",IF(ISNUMBER(G56),H56,F56)))</f>
        <v/>
      </c>
      <c r="D57" s="22" t="str">
        <f aca="false">IF(C57="","",ROUND(C57*$C$8,2))</f>
        <v/>
      </c>
      <c r="E57" s="22" t="str">
        <f aca="false">IF(C57="","",ROUND(C57*$C$9,2))</f>
        <v/>
      </c>
      <c r="F57" s="22" t="str">
        <f aca="false">IF(C57="","",C57+D57)</f>
        <v/>
      </c>
      <c r="G57" s="23" t="str">
        <f aca="false">IF(OR(C57="",NOT(ISNUMBER(H57))),"",ROUND(H57-C57,2))</f>
        <v/>
      </c>
      <c r="H57" s="24"/>
      <c r="I57" s="25" t="str">
        <f aca="false">IF(C57="","",IF(ISNUMBER(G57),IF(G57&lt;-E57,"Actual – Loss (limit breached)",IF(G57&lt;0,"Actual – Loss",IF(G57&gt;0,"Actual – Profit","Actual – No trade"))),"Projection"))</f>
        <v/>
      </c>
      <c r="J57" s="26"/>
      <c r="K57" s="27"/>
    </row>
    <row r="58" customFormat="false" ht="15" hidden="false" customHeight="false" outlineLevel="0" collapsed="false">
      <c r="A58" s="20" t="str">
        <f aca="false">IF(C58="","",ROW()-12)</f>
        <v/>
      </c>
      <c r="B58" s="21" t="str">
        <f aca="false">IF(C58="","",WORKDAY($C$5-1,A58,'NSE Holidays'!$A$5:$A$64))</f>
        <v/>
      </c>
      <c r="C58" s="22" t="str">
        <f aca="false">IF(C57="","",IF(OR(IF(ISNUMBER(G57),H57,F57)&gt;=$C$7,IF(ISNUMBER(G57),H57,F57)&lt;=0),"",IF(ISNUMBER(G57),H57,F57)))</f>
        <v/>
      </c>
      <c r="D58" s="22" t="str">
        <f aca="false">IF(C58="","",ROUND(C58*$C$8,2))</f>
        <v/>
      </c>
      <c r="E58" s="22" t="str">
        <f aca="false">IF(C58="","",ROUND(C58*$C$9,2))</f>
        <v/>
      </c>
      <c r="F58" s="22" t="str">
        <f aca="false">IF(C58="","",C58+D58)</f>
        <v/>
      </c>
      <c r="G58" s="23" t="str">
        <f aca="false">IF(OR(C58="",NOT(ISNUMBER(H58))),"",ROUND(H58-C58,2))</f>
        <v/>
      </c>
      <c r="H58" s="24"/>
      <c r="I58" s="25" t="str">
        <f aca="false">IF(C58="","",IF(ISNUMBER(G58),IF(G58&lt;-E58,"Actual – Loss (limit breached)",IF(G58&lt;0,"Actual – Loss",IF(G58&gt;0,"Actual – Profit","Actual – No trade"))),"Projection"))</f>
        <v/>
      </c>
      <c r="J58" s="26"/>
      <c r="K58" s="27"/>
    </row>
    <row r="59" customFormat="false" ht="15" hidden="false" customHeight="false" outlineLevel="0" collapsed="false">
      <c r="A59" s="20" t="str">
        <f aca="false">IF(C59="","",ROW()-12)</f>
        <v/>
      </c>
      <c r="B59" s="21" t="str">
        <f aca="false">IF(C59="","",WORKDAY($C$5-1,A59,'NSE Holidays'!$A$5:$A$64))</f>
        <v/>
      </c>
      <c r="C59" s="22" t="str">
        <f aca="false">IF(C58="","",IF(OR(IF(ISNUMBER(G58),H58,F58)&gt;=$C$7,IF(ISNUMBER(G58),H58,F58)&lt;=0),"",IF(ISNUMBER(G58),H58,F58)))</f>
        <v/>
      </c>
      <c r="D59" s="22" t="str">
        <f aca="false">IF(C59="","",ROUND(C59*$C$8,2))</f>
        <v/>
      </c>
      <c r="E59" s="22" t="str">
        <f aca="false">IF(C59="","",ROUND(C59*$C$9,2))</f>
        <v/>
      </c>
      <c r="F59" s="22" t="str">
        <f aca="false">IF(C59="","",C59+D59)</f>
        <v/>
      </c>
      <c r="G59" s="23" t="str">
        <f aca="false">IF(OR(C59="",NOT(ISNUMBER(H59))),"",ROUND(H59-C59,2))</f>
        <v/>
      </c>
      <c r="H59" s="24"/>
      <c r="I59" s="25" t="str">
        <f aca="false">IF(C59="","",IF(ISNUMBER(G59),IF(G59&lt;-E59,"Actual – Loss (limit breached)",IF(G59&lt;0,"Actual – Loss",IF(G59&gt;0,"Actual – Profit","Actual – No trade"))),"Projection"))</f>
        <v/>
      </c>
      <c r="J59" s="26"/>
      <c r="K59" s="27"/>
    </row>
    <row r="60" customFormat="false" ht="15" hidden="false" customHeight="false" outlineLevel="0" collapsed="false">
      <c r="A60" s="20" t="str">
        <f aca="false">IF(C60="","",ROW()-12)</f>
        <v/>
      </c>
      <c r="B60" s="21" t="str">
        <f aca="false">IF(C60="","",WORKDAY($C$5-1,A60,'NSE Holidays'!$A$5:$A$64))</f>
        <v/>
      </c>
      <c r="C60" s="22" t="str">
        <f aca="false">IF(C59="","",IF(OR(IF(ISNUMBER(G59),H59,F59)&gt;=$C$7,IF(ISNUMBER(G59),H59,F59)&lt;=0),"",IF(ISNUMBER(G59),H59,F59)))</f>
        <v/>
      </c>
      <c r="D60" s="22" t="str">
        <f aca="false">IF(C60="","",ROUND(C60*$C$8,2))</f>
        <v/>
      </c>
      <c r="E60" s="22" t="str">
        <f aca="false">IF(C60="","",ROUND(C60*$C$9,2))</f>
        <v/>
      </c>
      <c r="F60" s="22" t="str">
        <f aca="false">IF(C60="","",C60+D60)</f>
        <v/>
      </c>
      <c r="G60" s="23" t="str">
        <f aca="false">IF(OR(C60="",NOT(ISNUMBER(H60))),"",ROUND(H60-C60,2))</f>
        <v/>
      </c>
      <c r="H60" s="24"/>
      <c r="I60" s="25" t="str">
        <f aca="false">IF(C60="","",IF(ISNUMBER(G60),IF(G60&lt;-E60,"Actual – Loss (limit breached)",IF(G60&lt;0,"Actual – Loss",IF(G60&gt;0,"Actual – Profit","Actual – No trade"))),"Projection"))</f>
        <v/>
      </c>
      <c r="J60" s="26"/>
      <c r="K60" s="27"/>
    </row>
    <row r="61" customFormat="false" ht="15" hidden="false" customHeight="false" outlineLevel="0" collapsed="false">
      <c r="A61" s="20" t="str">
        <f aca="false">IF(C61="","",ROW()-12)</f>
        <v/>
      </c>
      <c r="B61" s="21" t="str">
        <f aca="false">IF(C61="","",WORKDAY($C$5-1,A61,'NSE Holidays'!$A$5:$A$64))</f>
        <v/>
      </c>
      <c r="C61" s="22" t="str">
        <f aca="false">IF(C60="","",IF(OR(IF(ISNUMBER(G60),H60,F60)&gt;=$C$7,IF(ISNUMBER(G60),H60,F60)&lt;=0),"",IF(ISNUMBER(G60),H60,F60)))</f>
        <v/>
      </c>
      <c r="D61" s="22" t="str">
        <f aca="false">IF(C61="","",ROUND(C61*$C$8,2))</f>
        <v/>
      </c>
      <c r="E61" s="22" t="str">
        <f aca="false">IF(C61="","",ROUND(C61*$C$9,2))</f>
        <v/>
      </c>
      <c r="F61" s="22" t="str">
        <f aca="false">IF(C61="","",C61+D61)</f>
        <v/>
      </c>
      <c r="G61" s="23" t="str">
        <f aca="false">IF(OR(C61="",NOT(ISNUMBER(H61))),"",ROUND(H61-C61,2))</f>
        <v/>
      </c>
      <c r="H61" s="24"/>
      <c r="I61" s="25" t="str">
        <f aca="false">IF(C61="","",IF(ISNUMBER(G61),IF(G61&lt;-E61,"Actual – Loss (limit breached)",IF(G61&lt;0,"Actual – Loss",IF(G61&gt;0,"Actual – Profit","Actual – No trade"))),"Projection"))</f>
        <v/>
      </c>
      <c r="J61" s="26"/>
      <c r="K61" s="27"/>
    </row>
    <row r="62" customFormat="false" ht="15" hidden="false" customHeight="false" outlineLevel="0" collapsed="false">
      <c r="A62" s="20" t="str">
        <f aca="false">IF(C62="","",ROW()-12)</f>
        <v/>
      </c>
      <c r="B62" s="21" t="str">
        <f aca="false">IF(C62="","",WORKDAY($C$5-1,A62,'NSE Holidays'!$A$5:$A$64))</f>
        <v/>
      </c>
      <c r="C62" s="22" t="str">
        <f aca="false">IF(C61="","",IF(OR(IF(ISNUMBER(G61),H61,F61)&gt;=$C$7,IF(ISNUMBER(G61),H61,F61)&lt;=0),"",IF(ISNUMBER(G61),H61,F61)))</f>
        <v/>
      </c>
      <c r="D62" s="22" t="str">
        <f aca="false">IF(C62="","",ROUND(C62*$C$8,2))</f>
        <v/>
      </c>
      <c r="E62" s="22" t="str">
        <f aca="false">IF(C62="","",ROUND(C62*$C$9,2))</f>
        <v/>
      </c>
      <c r="F62" s="22" t="str">
        <f aca="false">IF(C62="","",C62+D62)</f>
        <v/>
      </c>
      <c r="G62" s="23" t="str">
        <f aca="false">IF(OR(C62="",NOT(ISNUMBER(H62))),"",ROUND(H62-C62,2))</f>
        <v/>
      </c>
      <c r="H62" s="24"/>
      <c r="I62" s="25" t="str">
        <f aca="false">IF(C62="","",IF(ISNUMBER(G62),IF(G62&lt;-E62,"Actual – Loss (limit breached)",IF(G62&lt;0,"Actual – Loss",IF(G62&gt;0,"Actual – Profit","Actual – No trade"))),"Projection"))</f>
        <v/>
      </c>
      <c r="J62" s="26"/>
      <c r="K62" s="27"/>
    </row>
    <row r="63" customFormat="false" ht="15" hidden="false" customHeight="false" outlineLevel="0" collapsed="false">
      <c r="A63" s="20" t="str">
        <f aca="false">IF(C63="","",ROW()-12)</f>
        <v/>
      </c>
      <c r="B63" s="21" t="str">
        <f aca="false">IF(C63="","",WORKDAY($C$5-1,A63,'NSE Holidays'!$A$5:$A$64))</f>
        <v/>
      </c>
      <c r="C63" s="22" t="str">
        <f aca="false">IF(C62="","",IF(OR(IF(ISNUMBER(G62),H62,F62)&gt;=$C$7,IF(ISNUMBER(G62),H62,F62)&lt;=0),"",IF(ISNUMBER(G62),H62,F62)))</f>
        <v/>
      </c>
      <c r="D63" s="22" t="str">
        <f aca="false">IF(C63="","",ROUND(C63*$C$8,2))</f>
        <v/>
      </c>
      <c r="E63" s="22" t="str">
        <f aca="false">IF(C63="","",ROUND(C63*$C$9,2))</f>
        <v/>
      </c>
      <c r="F63" s="22" t="str">
        <f aca="false">IF(C63="","",C63+D63)</f>
        <v/>
      </c>
      <c r="G63" s="23" t="str">
        <f aca="false">IF(OR(C63="",NOT(ISNUMBER(H63))),"",ROUND(H63-C63,2))</f>
        <v/>
      </c>
      <c r="H63" s="24"/>
      <c r="I63" s="25" t="str">
        <f aca="false">IF(C63="","",IF(ISNUMBER(G63),IF(G63&lt;-E63,"Actual – Loss (limit breached)",IF(G63&lt;0,"Actual – Loss",IF(G63&gt;0,"Actual – Profit","Actual – No trade"))),"Projection"))</f>
        <v/>
      </c>
      <c r="J63" s="26"/>
      <c r="K63" s="27"/>
    </row>
    <row r="64" customFormat="false" ht="15" hidden="false" customHeight="false" outlineLevel="0" collapsed="false">
      <c r="A64" s="20" t="str">
        <f aca="false">IF(C64="","",ROW()-12)</f>
        <v/>
      </c>
      <c r="B64" s="21" t="str">
        <f aca="false">IF(C64="","",WORKDAY($C$5-1,A64,'NSE Holidays'!$A$5:$A$64))</f>
        <v/>
      </c>
      <c r="C64" s="22" t="str">
        <f aca="false">IF(C63="","",IF(OR(IF(ISNUMBER(G63),H63,F63)&gt;=$C$7,IF(ISNUMBER(G63),H63,F63)&lt;=0),"",IF(ISNUMBER(G63),H63,F63)))</f>
        <v/>
      </c>
      <c r="D64" s="22" t="str">
        <f aca="false">IF(C64="","",ROUND(C64*$C$8,2))</f>
        <v/>
      </c>
      <c r="E64" s="22" t="str">
        <f aca="false">IF(C64="","",ROUND(C64*$C$9,2))</f>
        <v/>
      </c>
      <c r="F64" s="22" t="str">
        <f aca="false">IF(C64="","",C64+D64)</f>
        <v/>
      </c>
      <c r="G64" s="23" t="str">
        <f aca="false">IF(OR(C64="",NOT(ISNUMBER(H64))),"",ROUND(H64-C64,2))</f>
        <v/>
      </c>
      <c r="H64" s="24"/>
      <c r="I64" s="25" t="str">
        <f aca="false">IF(C64="","",IF(ISNUMBER(G64),IF(G64&lt;-E64,"Actual – Loss (limit breached)",IF(G64&lt;0,"Actual – Loss",IF(G64&gt;0,"Actual – Profit","Actual – No trade"))),"Projection"))</f>
        <v/>
      </c>
      <c r="J64" s="26"/>
      <c r="K64" s="27"/>
    </row>
    <row r="65" customFormat="false" ht="15" hidden="false" customHeight="false" outlineLevel="0" collapsed="false">
      <c r="A65" s="20" t="str">
        <f aca="false">IF(C65="","",ROW()-12)</f>
        <v/>
      </c>
      <c r="B65" s="21" t="str">
        <f aca="false">IF(C65="","",WORKDAY($C$5-1,A65,'NSE Holidays'!$A$5:$A$64))</f>
        <v/>
      </c>
      <c r="C65" s="22" t="str">
        <f aca="false">IF(C64="","",IF(OR(IF(ISNUMBER(G64),H64,F64)&gt;=$C$7,IF(ISNUMBER(G64),H64,F64)&lt;=0),"",IF(ISNUMBER(G64),H64,F64)))</f>
        <v/>
      </c>
      <c r="D65" s="22" t="str">
        <f aca="false">IF(C65="","",ROUND(C65*$C$8,2))</f>
        <v/>
      </c>
      <c r="E65" s="22" t="str">
        <f aca="false">IF(C65="","",ROUND(C65*$C$9,2))</f>
        <v/>
      </c>
      <c r="F65" s="22" t="str">
        <f aca="false">IF(C65="","",C65+D65)</f>
        <v/>
      </c>
      <c r="G65" s="23" t="str">
        <f aca="false">IF(OR(C65="",NOT(ISNUMBER(H65))),"",ROUND(H65-C65,2))</f>
        <v/>
      </c>
      <c r="H65" s="24"/>
      <c r="I65" s="25" t="str">
        <f aca="false">IF(C65="","",IF(ISNUMBER(G65),IF(G65&lt;-E65,"Actual – Loss (limit breached)",IF(G65&lt;0,"Actual – Loss",IF(G65&gt;0,"Actual – Profit","Actual – No trade"))),"Projection"))</f>
        <v/>
      </c>
      <c r="J65" s="26"/>
      <c r="K65" s="27"/>
    </row>
    <row r="66" customFormat="false" ht="15" hidden="false" customHeight="false" outlineLevel="0" collapsed="false">
      <c r="A66" s="20" t="str">
        <f aca="false">IF(C66="","",ROW()-12)</f>
        <v/>
      </c>
      <c r="B66" s="21" t="str">
        <f aca="false">IF(C66="","",WORKDAY($C$5-1,A66,'NSE Holidays'!$A$5:$A$64))</f>
        <v/>
      </c>
      <c r="C66" s="22" t="str">
        <f aca="false">IF(C65="","",IF(OR(IF(ISNUMBER(G65),H65,F65)&gt;=$C$7,IF(ISNUMBER(G65),H65,F65)&lt;=0),"",IF(ISNUMBER(G65),H65,F65)))</f>
        <v/>
      </c>
      <c r="D66" s="22" t="str">
        <f aca="false">IF(C66="","",ROUND(C66*$C$8,2))</f>
        <v/>
      </c>
      <c r="E66" s="22" t="str">
        <f aca="false">IF(C66="","",ROUND(C66*$C$9,2))</f>
        <v/>
      </c>
      <c r="F66" s="22" t="str">
        <f aca="false">IF(C66="","",C66+D66)</f>
        <v/>
      </c>
      <c r="G66" s="23" t="str">
        <f aca="false">IF(OR(C66="",NOT(ISNUMBER(H66))),"",ROUND(H66-C66,2))</f>
        <v/>
      </c>
      <c r="H66" s="24"/>
      <c r="I66" s="25" t="str">
        <f aca="false">IF(C66="","",IF(ISNUMBER(G66),IF(G66&lt;-E66,"Actual – Loss (limit breached)",IF(G66&lt;0,"Actual – Loss",IF(G66&gt;0,"Actual – Profit","Actual – No trade"))),"Projection"))</f>
        <v/>
      </c>
      <c r="J66" s="26"/>
      <c r="K66" s="27"/>
    </row>
    <row r="67" customFormat="false" ht="15" hidden="false" customHeight="false" outlineLevel="0" collapsed="false">
      <c r="A67" s="20" t="str">
        <f aca="false">IF(C67="","",ROW()-12)</f>
        <v/>
      </c>
      <c r="B67" s="21" t="str">
        <f aca="false">IF(C67="","",WORKDAY($C$5-1,A67,'NSE Holidays'!$A$5:$A$64))</f>
        <v/>
      </c>
      <c r="C67" s="22" t="str">
        <f aca="false">IF(C66="","",IF(OR(IF(ISNUMBER(G66),H66,F66)&gt;=$C$7,IF(ISNUMBER(G66),H66,F66)&lt;=0),"",IF(ISNUMBER(G66),H66,F66)))</f>
        <v/>
      </c>
      <c r="D67" s="22" t="str">
        <f aca="false">IF(C67="","",ROUND(C67*$C$8,2))</f>
        <v/>
      </c>
      <c r="E67" s="22" t="str">
        <f aca="false">IF(C67="","",ROUND(C67*$C$9,2))</f>
        <v/>
      </c>
      <c r="F67" s="22" t="str">
        <f aca="false">IF(C67="","",C67+D67)</f>
        <v/>
      </c>
      <c r="G67" s="23" t="str">
        <f aca="false">IF(OR(C67="",NOT(ISNUMBER(H67))),"",ROUND(H67-C67,2))</f>
        <v/>
      </c>
      <c r="H67" s="24"/>
      <c r="I67" s="25" t="str">
        <f aca="false">IF(C67="","",IF(ISNUMBER(G67),IF(G67&lt;-E67,"Actual – Loss (limit breached)",IF(G67&lt;0,"Actual – Loss",IF(G67&gt;0,"Actual – Profit","Actual – No trade"))),"Projection"))</f>
        <v/>
      </c>
      <c r="J67" s="26"/>
      <c r="K67" s="27"/>
    </row>
    <row r="68" customFormat="false" ht="15" hidden="false" customHeight="false" outlineLevel="0" collapsed="false">
      <c r="A68" s="20" t="str">
        <f aca="false">IF(C68="","",ROW()-12)</f>
        <v/>
      </c>
      <c r="B68" s="21" t="str">
        <f aca="false">IF(C68="","",WORKDAY($C$5-1,A68,'NSE Holidays'!$A$5:$A$64))</f>
        <v/>
      </c>
      <c r="C68" s="22" t="str">
        <f aca="false">IF(C67="","",IF(OR(IF(ISNUMBER(G67),H67,F67)&gt;=$C$7,IF(ISNUMBER(G67),H67,F67)&lt;=0),"",IF(ISNUMBER(G67),H67,F67)))</f>
        <v/>
      </c>
      <c r="D68" s="22" t="str">
        <f aca="false">IF(C68="","",ROUND(C68*$C$8,2))</f>
        <v/>
      </c>
      <c r="E68" s="22" t="str">
        <f aca="false">IF(C68="","",ROUND(C68*$C$9,2))</f>
        <v/>
      </c>
      <c r="F68" s="22" t="str">
        <f aca="false">IF(C68="","",C68+D68)</f>
        <v/>
      </c>
      <c r="G68" s="23" t="str">
        <f aca="false">IF(OR(C68="",NOT(ISNUMBER(H68))),"",ROUND(H68-C68,2))</f>
        <v/>
      </c>
      <c r="H68" s="24"/>
      <c r="I68" s="25" t="str">
        <f aca="false">IF(C68="","",IF(ISNUMBER(G68),IF(G68&lt;-E68,"Actual – Loss (limit breached)",IF(G68&lt;0,"Actual – Loss",IF(G68&gt;0,"Actual – Profit","Actual – No trade"))),"Projection"))</f>
        <v/>
      </c>
      <c r="J68" s="26"/>
      <c r="K68" s="27"/>
    </row>
    <row r="69" customFormat="false" ht="15" hidden="false" customHeight="false" outlineLevel="0" collapsed="false">
      <c r="A69" s="20" t="str">
        <f aca="false">IF(C69="","",ROW()-12)</f>
        <v/>
      </c>
      <c r="B69" s="21" t="str">
        <f aca="false">IF(C69="","",WORKDAY($C$5-1,A69,'NSE Holidays'!$A$5:$A$64))</f>
        <v/>
      </c>
      <c r="C69" s="22" t="str">
        <f aca="false">IF(C68="","",IF(OR(IF(ISNUMBER(G68),H68,F68)&gt;=$C$7,IF(ISNUMBER(G68),H68,F68)&lt;=0),"",IF(ISNUMBER(G68),H68,F68)))</f>
        <v/>
      </c>
      <c r="D69" s="22" t="str">
        <f aca="false">IF(C69="","",ROUND(C69*$C$8,2))</f>
        <v/>
      </c>
      <c r="E69" s="22" t="str">
        <f aca="false">IF(C69="","",ROUND(C69*$C$9,2))</f>
        <v/>
      </c>
      <c r="F69" s="22" t="str">
        <f aca="false">IF(C69="","",C69+D69)</f>
        <v/>
      </c>
      <c r="G69" s="23" t="str">
        <f aca="false">IF(OR(C69="",NOT(ISNUMBER(H69))),"",ROUND(H69-C69,2))</f>
        <v/>
      </c>
      <c r="H69" s="24"/>
      <c r="I69" s="25" t="str">
        <f aca="false">IF(C69="","",IF(ISNUMBER(G69),IF(G69&lt;-E69,"Actual – Loss (limit breached)",IF(G69&lt;0,"Actual – Loss",IF(G69&gt;0,"Actual – Profit","Actual – No trade"))),"Projection"))</f>
        <v/>
      </c>
      <c r="J69" s="26"/>
      <c r="K69" s="27"/>
    </row>
    <row r="70" customFormat="false" ht="15" hidden="false" customHeight="false" outlineLevel="0" collapsed="false">
      <c r="A70" s="20" t="str">
        <f aca="false">IF(C70="","",ROW()-12)</f>
        <v/>
      </c>
      <c r="B70" s="21" t="str">
        <f aca="false">IF(C70="","",WORKDAY($C$5-1,A70,'NSE Holidays'!$A$5:$A$64))</f>
        <v/>
      </c>
      <c r="C70" s="22" t="str">
        <f aca="false">IF(C69="","",IF(OR(IF(ISNUMBER(G69),H69,F69)&gt;=$C$7,IF(ISNUMBER(G69),H69,F69)&lt;=0),"",IF(ISNUMBER(G69),H69,F69)))</f>
        <v/>
      </c>
      <c r="D70" s="22" t="str">
        <f aca="false">IF(C70="","",ROUND(C70*$C$8,2))</f>
        <v/>
      </c>
      <c r="E70" s="22" t="str">
        <f aca="false">IF(C70="","",ROUND(C70*$C$9,2))</f>
        <v/>
      </c>
      <c r="F70" s="22" t="str">
        <f aca="false">IF(C70="","",C70+D70)</f>
        <v/>
      </c>
      <c r="G70" s="23" t="str">
        <f aca="false">IF(OR(C70="",NOT(ISNUMBER(H70))),"",ROUND(H70-C70,2))</f>
        <v/>
      </c>
      <c r="H70" s="24"/>
      <c r="I70" s="25" t="str">
        <f aca="false">IF(C70="","",IF(ISNUMBER(G70),IF(G70&lt;-E70,"Actual – Loss (limit breached)",IF(G70&lt;0,"Actual – Loss",IF(G70&gt;0,"Actual – Profit","Actual – No trade"))),"Projection"))</f>
        <v/>
      </c>
      <c r="J70" s="26"/>
      <c r="K70" s="27"/>
    </row>
    <row r="71" customFormat="false" ht="15" hidden="false" customHeight="false" outlineLevel="0" collapsed="false">
      <c r="A71" s="20" t="str">
        <f aca="false">IF(C71="","",ROW()-12)</f>
        <v/>
      </c>
      <c r="B71" s="21" t="str">
        <f aca="false">IF(C71="","",WORKDAY($C$5-1,A71,'NSE Holidays'!$A$5:$A$64))</f>
        <v/>
      </c>
      <c r="C71" s="22" t="str">
        <f aca="false">IF(C70="","",IF(OR(IF(ISNUMBER(G70),H70,F70)&gt;=$C$7,IF(ISNUMBER(G70),H70,F70)&lt;=0),"",IF(ISNUMBER(G70),H70,F70)))</f>
        <v/>
      </c>
      <c r="D71" s="22" t="str">
        <f aca="false">IF(C71="","",ROUND(C71*$C$8,2))</f>
        <v/>
      </c>
      <c r="E71" s="22" t="str">
        <f aca="false">IF(C71="","",ROUND(C71*$C$9,2))</f>
        <v/>
      </c>
      <c r="F71" s="22" t="str">
        <f aca="false">IF(C71="","",C71+D71)</f>
        <v/>
      </c>
      <c r="G71" s="23" t="str">
        <f aca="false">IF(OR(C71="",NOT(ISNUMBER(H71))),"",ROUND(H71-C71,2))</f>
        <v/>
      </c>
      <c r="H71" s="24"/>
      <c r="I71" s="25" t="str">
        <f aca="false">IF(C71="","",IF(ISNUMBER(G71),IF(G71&lt;-E71,"Actual – Loss (limit breached)",IF(G71&lt;0,"Actual – Loss",IF(G71&gt;0,"Actual – Profit","Actual – No trade"))),"Projection"))</f>
        <v/>
      </c>
      <c r="J71" s="26"/>
      <c r="K71" s="27"/>
    </row>
    <row r="72" customFormat="false" ht="15" hidden="false" customHeight="false" outlineLevel="0" collapsed="false">
      <c r="A72" s="20" t="str">
        <f aca="false">IF(C72="","",ROW()-12)</f>
        <v/>
      </c>
      <c r="B72" s="21" t="str">
        <f aca="false">IF(C72="","",WORKDAY($C$5-1,A72,'NSE Holidays'!$A$5:$A$64))</f>
        <v/>
      </c>
      <c r="C72" s="22" t="str">
        <f aca="false">IF(C71="","",IF(OR(IF(ISNUMBER(G71),H71,F71)&gt;=$C$7,IF(ISNUMBER(G71),H71,F71)&lt;=0),"",IF(ISNUMBER(G71),H71,F71)))</f>
        <v/>
      </c>
      <c r="D72" s="22" t="str">
        <f aca="false">IF(C72="","",ROUND(C72*$C$8,2))</f>
        <v/>
      </c>
      <c r="E72" s="22" t="str">
        <f aca="false">IF(C72="","",ROUND(C72*$C$9,2))</f>
        <v/>
      </c>
      <c r="F72" s="22" t="str">
        <f aca="false">IF(C72="","",C72+D72)</f>
        <v/>
      </c>
      <c r="G72" s="23" t="str">
        <f aca="false">IF(OR(C72="",NOT(ISNUMBER(H72))),"",ROUND(H72-C72,2))</f>
        <v/>
      </c>
      <c r="H72" s="24"/>
      <c r="I72" s="25" t="str">
        <f aca="false">IF(C72="","",IF(ISNUMBER(G72),IF(G72&lt;-E72,"Actual – Loss (limit breached)",IF(G72&lt;0,"Actual – Loss",IF(G72&gt;0,"Actual – Profit","Actual – No trade"))),"Projection"))</f>
        <v/>
      </c>
      <c r="J72" s="26"/>
      <c r="K72" s="27"/>
    </row>
    <row r="73" customFormat="false" ht="15" hidden="false" customHeight="false" outlineLevel="0" collapsed="false">
      <c r="A73" s="20" t="str">
        <f aca="false">IF(C73="","",ROW()-12)</f>
        <v/>
      </c>
      <c r="B73" s="21" t="str">
        <f aca="false">IF(C73="","",WORKDAY($C$5-1,A73,'NSE Holidays'!$A$5:$A$64))</f>
        <v/>
      </c>
      <c r="C73" s="22" t="str">
        <f aca="false">IF(C72="","",IF(OR(IF(ISNUMBER(G72),H72,F72)&gt;=$C$7,IF(ISNUMBER(G72),H72,F72)&lt;=0),"",IF(ISNUMBER(G72),H72,F72)))</f>
        <v/>
      </c>
      <c r="D73" s="22" t="str">
        <f aca="false">IF(C73="","",ROUND(C73*$C$8,2))</f>
        <v/>
      </c>
      <c r="E73" s="22" t="str">
        <f aca="false">IF(C73="","",ROUND(C73*$C$9,2))</f>
        <v/>
      </c>
      <c r="F73" s="22" t="str">
        <f aca="false">IF(C73="","",C73+D73)</f>
        <v/>
      </c>
      <c r="G73" s="23" t="str">
        <f aca="false">IF(OR(C73="",NOT(ISNUMBER(H73))),"",ROUND(H73-C73,2))</f>
        <v/>
      </c>
      <c r="H73" s="24"/>
      <c r="I73" s="25" t="str">
        <f aca="false">IF(C73="","",IF(ISNUMBER(G73),IF(G73&lt;-E73,"Actual – Loss (limit breached)",IF(G73&lt;0,"Actual – Loss",IF(G73&gt;0,"Actual – Profit","Actual – No trade"))),"Projection"))</f>
        <v/>
      </c>
      <c r="J73" s="26"/>
      <c r="K73" s="27"/>
    </row>
    <row r="74" customFormat="false" ht="15" hidden="false" customHeight="false" outlineLevel="0" collapsed="false">
      <c r="A74" s="20" t="str">
        <f aca="false">IF(C74="","",ROW()-12)</f>
        <v/>
      </c>
      <c r="B74" s="21" t="str">
        <f aca="false">IF(C74="","",WORKDAY($C$5-1,A74,'NSE Holidays'!$A$5:$A$64))</f>
        <v/>
      </c>
      <c r="C74" s="22" t="str">
        <f aca="false">IF(C73="","",IF(OR(IF(ISNUMBER(G73),H73,F73)&gt;=$C$7,IF(ISNUMBER(G73),H73,F73)&lt;=0),"",IF(ISNUMBER(G73),H73,F73)))</f>
        <v/>
      </c>
      <c r="D74" s="22" t="str">
        <f aca="false">IF(C74="","",ROUND(C74*$C$8,2))</f>
        <v/>
      </c>
      <c r="E74" s="22" t="str">
        <f aca="false">IF(C74="","",ROUND(C74*$C$9,2))</f>
        <v/>
      </c>
      <c r="F74" s="22" t="str">
        <f aca="false">IF(C74="","",C74+D74)</f>
        <v/>
      </c>
      <c r="G74" s="23" t="str">
        <f aca="false">IF(OR(C74="",NOT(ISNUMBER(H74))),"",ROUND(H74-C74,2))</f>
        <v/>
      </c>
      <c r="H74" s="24"/>
      <c r="I74" s="25" t="str">
        <f aca="false">IF(C74="","",IF(ISNUMBER(G74),IF(G74&lt;-E74,"Actual – Loss (limit breached)",IF(G74&lt;0,"Actual – Loss",IF(G74&gt;0,"Actual – Profit","Actual – No trade"))),"Projection"))</f>
        <v/>
      </c>
      <c r="J74" s="26"/>
      <c r="K74" s="27"/>
    </row>
    <row r="75" customFormat="false" ht="15" hidden="false" customHeight="false" outlineLevel="0" collapsed="false">
      <c r="A75" s="20" t="str">
        <f aca="false">IF(C75="","",ROW()-12)</f>
        <v/>
      </c>
      <c r="B75" s="21" t="str">
        <f aca="false">IF(C75="","",WORKDAY($C$5-1,A75,'NSE Holidays'!$A$5:$A$64))</f>
        <v/>
      </c>
      <c r="C75" s="22" t="str">
        <f aca="false">IF(C74="","",IF(OR(IF(ISNUMBER(G74),H74,F74)&gt;=$C$7,IF(ISNUMBER(G74),H74,F74)&lt;=0),"",IF(ISNUMBER(G74),H74,F74)))</f>
        <v/>
      </c>
      <c r="D75" s="22" t="str">
        <f aca="false">IF(C75="","",ROUND(C75*$C$8,2))</f>
        <v/>
      </c>
      <c r="E75" s="22" t="str">
        <f aca="false">IF(C75="","",ROUND(C75*$C$9,2))</f>
        <v/>
      </c>
      <c r="F75" s="22" t="str">
        <f aca="false">IF(C75="","",C75+D75)</f>
        <v/>
      </c>
      <c r="G75" s="23" t="str">
        <f aca="false">IF(OR(C75="",NOT(ISNUMBER(H75))),"",ROUND(H75-C75,2))</f>
        <v/>
      </c>
      <c r="H75" s="24"/>
      <c r="I75" s="25" t="str">
        <f aca="false">IF(C75="","",IF(ISNUMBER(G75),IF(G75&lt;-E75,"Actual – Loss (limit breached)",IF(G75&lt;0,"Actual – Loss",IF(G75&gt;0,"Actual – Profit","Actual – No trade"))),"Projection"))</f>
        <v/>
      </c>
      <c r="J75" s="26"/>
      <c r="K75" s="27"/>
    </row>
    <row r="76" customFormat="false" ht="15" hidden="false" customHeight="false" outlineLevel="0" collapsed="false">
      <c r="A76" s="20" t="str">
        <f aca="false">IF(C76="","",ROW()-12)</f>
        <v/>
      </c>
      <c r="B76" s="21" t="str">
        <f aca="false">IF(C76="","",WORKDAY($C$5-1,A76,'NSE Holidays'!$A$5:$A$64))</f>
        <v/>
      </c>
      <c r="C76" s="22" t="str">
        <f aca="false">IF(C75="","",IF(OR(IF(ISNUMBER(G75),H75,F75)&gt;=$C$7,IF(ISNUMBER(G75),H75,F75)&lt;=0),"",IF(ISNUMBER(G75),H75,F75)))</f>
        <v/>
      </c>
      <c r="D76" s="22" t="str">
        <f aca="false">IF(C76="","",ROUND(C76*$C$8,2))</f>
        <v/>
      </c>
      <c r="E76" s="22" t="str">
        <f aca="false">IF(C76="","",ROUND(C76*$C$9,2))</f>
        <v/>
      </c>
      <c r="F76" s="22" t="str">
        <f aca="false">IF(C76="","",C76+D76)</f>
        <v/>
      </c>
      <c r="G76" s="23" t="str">
        <f aca="false">IF(OR(C76="",NOT(ISNUMBER(H76))),"",ROUND(H76-C76,2))</f>
        <v/>
      </c>
      <c r="H76" s="24"/>
      <c r="I76" s="25" t="str">
        <f aca="false">IF(C76="","",IF(ISNUMBER(G76),IF(G76&lt;-E76,"Actual – Loss (limit breached)",IF(G76&lt;0,"Actual – Loss",IF(G76&gt;0,"Actual – Profit","Actual – No trade"))),"Projection"))</f>
        <v/>
      </c>
      <c r="J76" s="26"/>
      <c r="K76" s="27"/>
    </row>
    <row r="77" customFormat="false" ht="15" hidden="false" customHeight="false" outlineLevel="0" collapsed="false">
      <c r="A77" s="20" t="str">
        <f aca="false">IF(C77="","",ROW()-12)</f>
        <v/>
      </c>
      <c r="B77" s="21" t="str">
        <f aca="false">IF(C77="","",WORKDAY($C$5-1,A77,'NSE Holidays'!$A$5:$A$64))</f>
        <v/>
      </c>
      <c r="C77" s="22" t="str">
        <f aca="false">IF(C76="","",IF(OR(IF(ISNUMBER(G76),H76,F76)&gt;=$C$7,IF(ISNUMBER(G76),H76,F76)&lt;=0),"",IF(ISNUMBER(G76),H76,F76)))</f>
        <v/>
      </c>
      <c r="D77" s="22" t="str">
        <f aca="false">IF(C77="","",ROUND(C77*$C$8,2))</f>
        <v/>
      </c>
      <c r="E77" s="22" t="str">
        <f aca="false">IF(C77="","",ROUND(C77*$C$9,2))</f>
        <v/>
      </c>
      <c r="F77" s="22" t="str">
        <f aca="false">IF(C77="","",C77+D77)</f>
        <v/>
      </c>
      <c r="G77" s="23" t="str">
        <f aca="false">IF(OR(C77="",NOT(ISNUMBER(H77))),"",ROUND(H77-C77,2))</f>
        <v/>
      </c>
      <c r="H77" s="24"/>
      <c r="I77" s="25" t="str">
        <f aca="false">IF(C77="","",IF(ISNUMBER(G77),IF(G77&lt;-E77,"Actual – Loss (limit breached)",IF(G77&lt;0,"Actual – Loss",IF(G77&gt;0,"Actual – Profit","Actual – No trade"))),"Projection"))</f>
        <v/>
      </c>
      <c r="J77" s="26"/>
      <c r="K77" s="27"/>
    </row>
    <row r="78" customFormat="false" ht="15" hidden="false" customHeight="false" outlineLevel="0" collapsed="false">
      <c r="A78" s="20" t="str">
        <f aca="false">IF(C78="","",ROW()-12)</f>
        <v/>
      </c>
      <c r="B78" s="21" t="str">
        <f aca="false">IF(C78="","",WORKDAY($C$5-1,A78,'NSE Holidays'!$A$5:$A$64))</f>
        <v/>
      </c>
      <c r="C78" s="22" t="str">
        <f aca="false">IF(C77="","",IF(OR(IF(ISNUMBER(G77),H77,F77)&gt;=$C$7,IF(ISNUMBER(G77),H77,F77)&lt;=0),"",IF(ISNUMBER(G77),H77,F77)))</f>
        <v/>
      </c>
      <c r="D78" s="22" t="str">
        <f aca="false">IF(C78="","",ROUND(C78*$C$8,2))</f>
        <v/>
      </c>
      <c r="E78" s="22" t="str">
        <f aca="false">IF(C78="","",ROUND(C78*$C$9,2))</f>
        <v/>
      </c>
      <c r="F78" s="22" t="str">
        <f aca="false">IF(C78="","",C78+D78)</f>
        <v/>
      </c>
      <c r="G78" s="23" t="str">
        <f aca="false">IF(OR(C78="",NOT(ISNUMBER(H78))),"",ROUND(H78-C78,2))</f>
        <v/>
      </c>
      <c r="H78" s="24"/>
      <c r="I78" s="25" t="str">
        <f aca="false">IF(C78="","",IF(ISNUMBER(G78),IF(G78&lt;-E78,"Actual – Loss (limit breached)",IF(G78&lt;0,"Actual – Loss",IF(G78&gt;0,"Actual – Profit","Actual – No trade"))),"Projection"))</f>
        <v/>
      </c>
      <c r="J78" s="26"/>
      <c r="K78" s="27"/>
    </row>
    <row r="79" customFormat="false" ht="15" hidden="false" customHeight="false" outlineLevel="0" collapsed="false">
      <c r="A79" s="20" t="str">
        <f aca="false">IF(C79="","",ROW()-12)</f>
        <v/>
      </c>
      <c r="B79" s="21" t="str">
        <f aca="false">IF(C79="","",WORKDAY($C$5-1,A79,'NSE Holidays'!$A$5:$A$64))</f>
        <v/>
      </c>
      <c r="C79" s="22" t="str">
        <f aca="false">IF(C78="","",IF(OR(IF(ISNUMBER(G78),H78,F78)&gt;=$C$7,IF(ISNUMBER(G78),H78,F78)&lt;=0),"",IF(ISNUMBER(G78),H78,F78)))</f>
        <v/>
      </c>
      <c r="D79" s="22" t="str">
        <f aca="false">IF(C79="","",ROUND(C79*$C$8,2))</f>
        <v/>
      </c>
      <c r="E79" s="22" t="str">
        <f aca="false">IF(C79="","",ROUND(C79*$C$9,2))</f>
        <v/>
      </c>
      <c r="F79" s="22" t="str">
        <f aca="false">IF(C79="","",C79+D79)</f>
        <v/>
      </c>
      <c r="G79" s="23" t="str">
        <f aca="false">IF(OR(C79="",NOT(ISNUMBER(H79))),"",ROUND(H79-C79,2))</f>
        <v/>
      </c>
      <c r="H79" s="24"/>
      <c r="I79" s="25" t="str">
        <f aca="false">IF(C79="","",IF(ISNUMBER(G79),IF(G79&lt;-E79,"Actual – Loss (limit breached)",IF(G79&lt;0,"Actual – Loss",IF(G79&gt;0,"Actual – Profit","Actual – No trade"))),"Projection"))</f>
        <v/>
      </c>
      <c r="J79" s="26"/>
      <c r="K79" s="27"/>
    </row>
    <row r="80" customFormat="false" ht="15" hidden="false" customHeight="false" outlineLevel="0" collapsed="false">
      <c r="A80" s="20" t="str">
        <f aca="false">IF(C80="","",ROW()-12)</f>
        <v/>
      </c>
      <c r="B80" s="21" t="str">
        <f aca="false">IF(C80="","",WORKDAY($C$5-1,A80,'NSE Holidays'!$A$5:$A$64))</f>
        <v/>
      </c>
      <c r="C80" s="22" t="str">
        <f aca="false">IF(C79="","",IF(OR(IF(ISNUMBER(G79),H79,F79)&gt;=$C$7,IF(ISNUMBER(G79),H79,F79)&lt;=0),"",IF(ISNUMBER(G79),H79,F79)))</f>
        <v/>
      </c>
      <c r="D80" s="22" t="str">
        <f aca="false">IF(C80="","",ROUND(C80*$C$8,2))</f>
        <v/>
      </c>
      <c r="E80" s="22" t="str">
        <f aca="false">IF(C80="","",ROUND(C80*$C$9,2))</f>
        <v/>
      </c>
      <c r="F80" s="22" t="str">
        <f aca="false">IF(C80="","",C80+D80)</f>
        <v/>
      </c>
      <c r="G80" s="23" t="str">
        <f aca="false">IF(OR(C80="",NOT(ISNUMBER(H80))),"",ROUND(H80-C80,2))</f>
        <v/>
      </c>
      <c r="H80" s="24"/>
      <c r="I80" s="25" t="str">
        <f aca="false">IF(C80="","",IF(ISNUMBER(G80),IF(G80&lt;-E80,"Actual – Loss (limit breached)",IF(G80&lt;0,"Actual – Loss",IF(G80&gt;0,"Actual – Profit","Actual – No trade"))),"Projection"))</f>
        <v/>
      </c>
      <c r="J80" s="26"/>
      <c r="K80" s="27"/>
    </row>
    <row r="81" customFormat="false" ht="15" hidden="false" customHeight="false" outlineLevel="0" collapsed="false">
      <c r="A81" s="20" t="str">
        <f aca="false">IF(C81="","",ROW()-12)</f>
        <v/>
      </c>
      <c r="B81" s="21" t="str">
        <f aca="false">IF(C81="","",WORKDAY($C$5-1,A81,'NSE Holidays'!$A$5:$A$64))</f>
        <v/>
      </c>
      <c r="C81" s="22" t="str">
        <f aca="false">IF(C80="","",IF(OR(IF(ISNUMBER(G80),H80,F80)&gt;=$C$7,IF(ISNUMBER(G80),H80,F80)&lt;=0),"",IF(ISNUMBER(G80),H80,F80)))</f>
        <v/>
      </c>
      <c r="D81" s="22" t="str">
        <f aca="false">IF(C81="","",ROUND(C81*$C$8,2))</f>
        <v/>
      </c>
      <c r="E81" s="22" t="str">
        <f aca="false">IF(C81="","",ROUND(C81*$C$9,2))</f>
        <v/>
      </c>
      <c r="F81" s="22" t="str">
        <f aca="false">IF(C81="","",C81+D81)</f>
        <v/>
      </c>
      <c r="G81" s="23" t="str">
        <f aca="false">IF(OR(C81="",NOT(ISNUMBER(H81))),"",ROUND(H81-C81,2))</f>
        <v/>
      </c>
      <c r="H81" s="24"/>
      <c r="I81" s="25" t="str">
        <f aca="false">IF(C81="","",IF(ISNUMBER(G81),IF(G81&lt;-E81,"Actual – Loss (limit breached)",IF(G81&lt;0,"Actual – Loss",IF(G81&gt;0,"Actual – Profit","Actual – No trade"))),"Projection"))</f>
        <v/>
      </c>
      <c r="J81" s="26"/>
      <c r="K81" s="27"/>
    </row>
    <row r="82" customFormat="false" ht="15" hidden="false" customHeight="false" outlineLevel="0" collapsed="false">
      <c r="A82" s="20" t="str">
        <f aca="false">IF(C82="","",ROW()-12)</f>
        <v/>
      </c>
      <c r="B82" s="21" t="str">
        <f aca="false">IF(C82="","",WORKDAY($C$5-1,A82,'NSE Holidays'!$A$5:$A$64))</f>
        <v/>
      </c>
      <c r="C82" s="22" t="str">
        <f aca="false">IF(C81="","",IF(OR(IF(ISNUMBER(G81),H81,F81)&gt;=$C$7,IF(ISNUMBER(G81),H81,F81)&lt;=0),"",IF(ISNUMBER(G81),H81,F81)))</f>
        <v/>
      </c>
      <c r="D82" s="22" t="str">
        <f aca="false">IF(C82="","",ROUND(C82*$C$8,2))</f>
        <v/>
      </c>
      <c r="E82" s="22" t="str">
        <f aca="false">IF(C82="","",ROUND(C82*$C$9,2))</f>
        <v/>
      </c>
      <c r="F82" s="22" t="str">
        <f aca="false">IF(C82="","",C82+D82)</f>
        <v/>
      </c>
      <c r="G82" s="23" t="str">
        <f aca="false">IF(OR(C82="",NOT(ISNUMBER(H82))),"",ROUND(H82-C82,2))</f>
        <v/>
      </c>
      <c r="H82" s="24"/>
      <c r="I82" s="25" t="str">
        <f aca="false">IF(C82="","",IF(ISNUMBER(G82),IF(G82&lt;-E82,"Actual – Loss (limit breached)",IF(G82&lt;0,"Actual – Loss",IF(G82&gt;0,"Actual – Profit","Actual – No trade"))),"Projection"))</f>
        <v/>
      </c>
      <c r="J82" s="26"/>
      <c r="K82" s="27"/>
    </row>
    <row r="83" customFormat="false" ht="15" hidden="false" customHeight="false" outlineLevel="0" collapsed="false">
      <c r="A83" s="20" t="str">
        <f aca="false">IF(C83="","",ROW()-12)</f>
        <v/>
      </c>
      <c r="B83" s="21" t="str">
        <f aca="false">IF(C83="","",WORKDAY($C$5-1,A83,'NSE Holidays'!$A$5:$A$64))</f>
        <v/>
      </c>
      <c r="C83" s="22" t="str">
        <f aca="false">IF(C82="","",IF(OR(IF(ISNUMBER(G82),H82,F82)&gt;=$C$7,IF(ISNUMBER(G82),H82,F82)&lt;=0),"",IF(ISNUMBER(G82),H82,F82)))</f>
        <v/>
      </c>
      <c r="D83" s="22" t="str">
        <f aca="false">IF(C83="","",ROUND(C83*$C$8,2))</f>
        <v/>
      </c>
      <c r="E83" s="22" t="str">
        <f aca="false">IF(C83="","",ROUND(C83*$C$9,2))</f>
        <v/>
      </c>
      <c r="F83" s="22" t="str">
        <f aca="false">IF(C83="","",C83+D83)</f>
        <v/>
      </c>
      <c r="G83" s="23" t="str">
        <f aca="false">IF(OR(C83="",NOT(ISNUMBER(H83))),"",ROUND(H83-C83,2))</f>
        <v/>
      </c>
      <c r="H83" s="24"/>
      <c r="I83" s="25" t="str">
        <f aca="false">IF(C83="","",IF(ISNUMBER(G83),IF(G83&lt;-E83,"Actual – Loss (limit breached)",IF(G83&lt;0,"Actual – Loss",IF(G83&gt;0,"Actual – Profit","Actual – No trade"))),"Projection"))</f>
        <v/>
      </c>
      <c r="J83" s="26"/>
      <c r="K83" s="27"/>
    </row>
    <row r="84" customFormat="false" ht="15" hidden="false" customHeight="false" outlineLevel="0" collapsed="false">
      <c r="A84" s="20" t="str">
        <f aca="false">IF(C84="","",ROW()-12)</f>
        <v/>
      </c>
      <c r="B84" s="21" t="str">
        <f aca="false">IF(C84="","",WORKDAY($C$5-1,A84,'NSE Holidays'!$A$5:$A$64))</f>
        <v/>
      </c>
      <c r="C84" s="22" t="str">
        <f aca="false">IF(C83="","",IF(OR(IF(ISNUMBER(G83),H83,F83)&gt;=$C$7,IF(ISNUMBER(G83),H83,F83)&lt;=0),"",IF(ISNUMBER(G83),H83,F83)))</f>
        <v/>
      </c>
      <c r="D84" s="22" t="str">
        <f aca="false">IF(C84="","",ROUND(C84*$C$8,2))</f>
        <v/>
      </c>
      <c r="E84" s="22" t="str">
        <f aca="false">IF(C84="","",ROUND(C84*$C$9,2))</f>
        <v/>
      </c>
      <c r="F84" s="22" t="str">
        <f aca="false">IF(C84="","",C84+D84)</f>
        <v/>
      </c>
      <c r="G84" s="23" t="str">
        <f aca="false">IF(OR(C84="",NOT(ISNUMBER(H84))),"",ROUND(H84-C84,2))</f>
        <v/>
      </c>
      <c r="H84" s="24"/>
      <c r="I84" s="25" t="str">
        <f aca="false">IF(C84="","",IF(ISNUMBER(G84),IF(G84&lt;-E84,"Actual – Loss (limit breached)",IF(G84&lt;0,"Actual – Loss",IF(G84&gt;0,"Actual – Profit","Actual – No trade"))),"Projection"))</f>
        <v/>
      </c>
      <c r="J84" s="26"/>
      <c r="K84" s="27"/>
    </row>
    <row r="85" customFormat="false" ht="15" hidden="false" customHeight="false" outlineLevel="0" collapsed="false">
      <c r="A85" s="20" t="str">
        <f aca="false">IF(C85="","",ROW()-12)</f>
        <v/>
      </c>
      <c r="B85" s="21" t="str">
        <f aca="false">IF(C85="","",WORKDAY($C$5-1,A85,'NSE Holidays'!$A$5:$A$64))</f>
        <v/>
      </c>
      <c r="C85" s="22" t="str">
        <f aca="false">IF(C84="","",IF(OR(IF(ISNUMBER(G84),H84,F84)&gt;=$C$7,IF(ISNUMBER(G84),H84,F84)&lt;=0),"",IF(ISNUMBER(G84),H84,F84)))</f>
        <v/>
      </c>
      <c r="D85" s="22" t="str">
        <f aca="false">IF(C85="","",ROUND(C85*$C$8,2))</f>
        <v/>
      </c>
      <c r="E85" s="22" t="str">
        <f aca="false">IF(C85="","",ROUND(C85*$C$9,2))</f>
        <v/>
      </c>
      <c r="F85" s="22" t="str">
        <f aca="false">IF(C85="","",C85+D85)</f>
        <v/>
      </c>
      <c r="G85" s="23" t="str">
        <f aca="false">IF(OR(C85="",NOT(ISNUMBER(H85))),"",ROUND(H85-C85,2))</f>
        <v/>
      </c>
      <c r="H85" s="24"/>
      <c r="I85" s="25" t="str">
        <f aca="false">IF(C85="","",IF(ISNUMBER(G85),IF(G85&lt;-E85,"Actual – Loss (limit breached)",IF(G85&lt;0,"Actual – Loss",IF(G85&gt;0,"Actual – Profit","Actual – No trade"))),"Projection"))</f>
        <v/>
      </c>
      <c r="J85" s="26"/>
      <c r="K85" s="27"/>
    </row>
    <row r="86" customFormat="false" ht="15" hidden="false" customHeight="false" outlineLevel="0" collapsed="false">
      <c r="A86" s="20" t="str">
        <f aca="false">IF(C86="","",ROW()-12)</f>
        <v/>
      </c>
      <c r="B86" s="21" t="str">
        <f aca="false">IF(C86="","",WORKDAY($C$5-1,A86,'NSE Holidays'!$A$5:$A$64))</f>
        <v/>
      </c>
      <c r="C86" s="22" t="str">
        <f aca="false">IF(C85="","",IF(OR(IF(ISNUMBER(G85),H85,F85)&gt;=$C$7,IF(ISNUMBER(G85),H85,F85)&lt;=0),"",IF(ISNUMBER(G85),H85,F85)))</f>
        <v/>
      </c>
      <c r="D86" s="22" t="str">
        <f aca="false">IF(C86="","",ROUND(C86*$C$8,2))</f>
        <v/>
      </c>
      <c r="E86" s="22" t="str">
        <f aca="false">IF(C86="","",ROUND(C86*$C$9,2))</f>
        <v/>
      </c>
      <c r="F86" s="22" t="str">
        <f aca="false">IF(C86="","",C86+D86)</f>
        <v/>
      </c>
      <c r="G86" s="23" t="str">
        <f aca="false">IF(OR(C86="",NOT(ISNUMBER(H86))),"",ROUND(H86-C86,2))</f>
        <v/>
      </c>
      <c r="H86" s="24"/>
      <c r="I86" s="25" t="str">
        <f aca="false">IF(C86="","",IF(ISNUMBER(G86),IF(G86&lt;-E86,"Actual – Loss (limit breached)",IF(G86&lt;0,"Actual – Loss",IF(G86&gt;0,"Actual – Profit","Actual – No trade"))),"Projection"))</f>
        <v/>
      </c>
      <c r="J86" s="26"/>
      <c r="K86" s="27"/>
    </row>
    <row r="87" customFormat="false" ht="15" hidden="false" customHeight="false" outlineLevel="0" collapsed="false">
      <c r="A87" s="20" t="str">
        <f aca="false">IF(C87="","",ROW()-12)</f>
        <v/>
      </c>
      <c r="B87" s="21" t="str">
        <f aca="false">IF(C87="","",WORKDAY($C$5-1,A87,'NSE Holidays'!$A$5:$A$64))</f>
        <v/>
      </c>
      <c r="C87" s="22" t="str">
        <f aca="false">IF(C86="","",IF(OR(IF(ISNUMBER(G86),H86,F86)&gt;=$C$7,IF(ISNUMBER(G86),H86,F86)&lt;=0),"",IF(ISNUMBER(G86),H86,F86)))</f>
        <v/>
      </c>
      <c r="D87" s="22" t="str">
        <f aca="false">IF(C87="","",ROUND(C87*$C$8,2))</f>
        <v/>
      </c>
      <c r="E87" s="22" t="str">
        <f aca="false">IF(C87="","",ROUND(C87*$C$9,2))</f>
        <v/>
      </c>
      <c r="F87" s="22" t="str">
        <f aca="false">IF(C87="","",C87+D87)</f>
        <v/>
      </c>
      <c r="G87" s="23" t="str">
        <f aca="false">IF(OR(C87="",NOT(ISNUMBER(H87))),"",ROUND(H87-C87,2))</f>
        <v/>
      </c>
      <c r="H87" s="24"/>
      <c r="I87" s="25" t="str">
        <f aca="false">IF(C87="","",IF(ISNUMBER(G87),IF(G87&lt;-E87,"Actual – Loss (limit breached)",IF(G87&lt;0,"Actual – Loss",IF(G87&gt;0,"Actual – Profit","Actual – No trade"))),"Projection"))</f>
        <v/>
      </c>
      <c r="J87" s="26"/>
      <c r="K87" s="27"/>
    </row>
    <row r="88" customFormat="false" ht="15" hidden="false" customHeight="false" outlineLevel="0" collapsed="false">
      <c r="A88" s="20" t="str">
        <f aca="false">IF(C88="","",ROW()-12)</f>
        <v/>
      </c>
      <c r="B88" s="21" t="str">
        <f aca="false">IF(C88="","",WORKDAY($C$5-1,A88,'NSE Holidays'!$A$5:$A$64))</f>
        <v/>
      </c>
      <c r="C88" s="22" t="str">
        <f aca="false">IF(C87="","",IF(OR(IF(ISNUMBER(G87),H87,F87)&gt;=$C$7,IF(ISNUMBER(G87),H87,F87)&lt;=0),"",IF(ISNUMBER(G87),H87,F87)))</f>
        <v/>
      </c>
      <c r="D88" s="22" t="str">
        <f aca="false">IF(C88="","",ROUND(C88*$C$8,2))</f>
        <v/>
      </c>
      <c r="E88" s="22" t="str">
        <f aca="false">IF(C88="","",ROUND(C88*$C$9,2))</f>
        <v/>
      </c>
      <c r="F88" s="22" t="str">
        <f aca="false">IF(C88="","",C88+D88)</f>
        <v/>
      </c>
      <c r="G88" s="23" t="str">
        <f aca="false">IF(OR(C88="",NOT(ISNUMBER(H88))),"",ROUND(H88-C88,2))</f>
        <v/>
      </c>
      <c r="H88" s="24"/>
      <c r="I88" s="25" t="str">
        <f aca="false">IF(C88="","",IF(ISNUMBER(G88),IF(G88&lt;-E88,"Actual – Loss (limit breached)",IF(G88&lt;0,"Actual – Loss",IF(G88&gt;0,"Actual – Profit","Actual – No trade"))),"Projection"))</f>
        <v/>
      </c>
      <c r="J88" s="26"/>
      <c r="K88" s="27"/>
    </row>
    <row r="89" customFormat="false" ht="15" hidden="false" customHeight="false" outlineLevel="0" collapsed="false">
      <c r="A89" s="20" t="str">
        <f aca="false">IF(C89="","",ROW()-12)</f>
        <v/>
      </c>
      <c r="B89" s="21" t="str">
        <f aca="false">IF(C89="","",WORKDAY($C$5-1,A89,'NSE Holidays'!$A$5:$A$64))</f>
        <v/>
      </c>
      <c r="C89" s="22" t="str">
        <f aca="false">IF(C88="","",IF(OR(IF(ISNUMBER(G88),H88,F88)&gt;=$C$7,IF(ISNUMBER(G88),H88,F88)&lt;=0),"",IF(ISNUMBER(G88),H88,F88)))</f>
        <v/>
      </c>
      <c r="D89" s="22" t="str">
        <f aca="false">IF(C89="","",ROUND(C89*$C$8,2))</f>
        <v/>
      </c>
      <c r="E89" s="22" t="str">
        <f aca="false">IF(C89="","",ROUND(C89*$C$9,2))</f>
        <v/>
      </c>
      <c r="F89" s="22" t="str">
        <f aca="false">IF(C89="","",C89+D89)</f>
        <v/>
      </c>
      <c r="G89" s="23" t="str">
        <f aca="false">IF(OR(C89="",NOT(ISNUMBER(H89))),"",ROUND(H89-C89,2))</f>
        <v/>
      </c>
      <c r="H89" s="24"/>
      <c r="I89" s="25" t="str">
        <f aca="false">IF(C89="","",IF(ISNUMBER(G89),IF(G89&lt;-E89,"Actual – Loss (limit breached)",IF(G89&lt;0,"Actual – Loss",IF(G89&gt;0,"Actual – Profit","Actual – No trade"))),"Projection"))</f>
        <v/>
      </c>
      <c r="J89" s="26"/>
      <c r="K89" s="27"/>
    </row>
    <row r="90" customFormat="false" ht="15" hidden="false" customHeight="false" outlineLevel="0" collapsed="false">
      <c r="A90" s="20" t="str">
        <f aca="false">IF(C90="","",ROW()-12)</f>
        <v/>
      </c>
      <c r="B90" s="21" t="str">
        <f aca="false">IF(C90="","",WORKDAY($C$5-1,A90,'NSE Holidays'!$A$5:$A$64))</f>
        <v/>
      </c>
      <c r="C90" s="22" t="str">
        <f aca="false">IF(C89="","",IF(OR(IF(ISNUMBER(G89),H89,F89)&gt;=$C$7,IF(ISNUMBER(G89),H89,F89)&lt;=0),"",IF(ISNUMBER(G89),H89,F89)))</f>
        <v/>
      </c>
      <c r="D90" s="22" t="str">
        <f aca="false">IF(C90="","",ROUND(C90*$C$8,2))</f>
        <v/>
      </c>
      <c r="E90" s="22" t="str">
        <f aca="false">IF(C90="","",ROUND(C90*$C$9,2))</f>
        <v/>
      </c>
      <c r="F90" s="22" t="str">
        <f aca="false">IF(C90="","",C90+D90)</f>
        <v/>
      </c>
      <c r="G90" s="23" t="str">
        <f aca="false">IF(OR(C90="",NOT(ISNUMBER(H90))),"",ROUND(H90-C90,2))</f>
        <v/>
      </c>
      <c r="H90" s="24"/>
      <c r="I90" s="25" t="str">
        <f aca="false">IF(C90="","",IF(ISNUMBER(G90),IF(G90&lt;-E90,"Actual – Loss (limit breached)",IF(G90&lt;0,"Actual – Loss",IF(G90&gt;0,"Actual – Profit","Actual – No trade"))),"Projection"))</f>
        <v/>
      </c>
      <c r="J90" s="26"/>
      <c r="K90" s="27"/>
    </row>
    <row r="91" customFormat="false" ht="15" hidden="false" customHeight="false" outlineLevel="0" collapsed="false">
      <c r="A91" s="20" t="str">
        <f aca="false">IF(C91="","",ROW()-12)</f>
        <v/>
      </c>
      <c r="B91" s="21" t="str">
        <f aca="false">IF(C91="","",WORKDAY($C$5-1,A91,'NSE Holidays'!$A$5:$A$64))</f>
        <v/>
      </c>
      <c r="C91" s="22" t="str">
        <f aca="false">IF(C90="","",IF(OR(IF(ISNUMBER(G90),H90,F90)&gt;=$C$7,IF(ISNUMBER(G90),H90,F90)&lt;=0),"",IF(ISNUMBER(G90),H90,F90)))</f>
        <v/>
      </c>
      <c r="D91" s="22" t="str">
        <f aca="false">IF(C91="","",ROUND(C91*$C$8,2))</f>
        <v/>
      </c>
      <c r="E91" s="22" t="str">
        <f aca="false">IF(C91="","",ROUND(C91*$C$9,2))</f>
        <v/>
      </c>
      <c r="F91" s="22" t="str">
        <f aca="false">IF(C91="","",C91+D91)</f>
        <v/>
      </c>
      <c r="G91" s="23" t="str">
        <f aca="false">IF(OR(C91="",NOT(ISNUMBER(H91))),"",ROUND(H91-C91,2))</f>
        <v/>
      </c>
      <c r="H91" s="24"/>
      <c r="I91" s="25" t="str">
        <f aca="false">IF(C91="","",IF(ISNUMBER(G91),IF(G91&lt;-E91,"Actual – Loss (limit breached)",IF(G91&lt;0,"Actual – Loss",IF(G91&gt;0,"Actual – Profit","Actual – No trade"))),"Projection"))</f>
        <v/>
      </c>
      <c r="J91" s="26"/>
      <c r="K91" s="27"/>
    </row>
    <row r="92" customFormat="false" ht="15" hidden="false" customHeight="false" outlineLevel="0" collapsed="false">
      <c r="A92" s="20" t="str">
        <f aca="false">IF(C92="","",ROW()-12)</f>
        <v/>
      </c>
      <c r="B92" s="21" t="str">
        <f aca="false">IF(C92="","",WORKDAY($C$5-1,A92,'NSE Holidays'!$A$5:$A$64))</f>
        <v/>
      </c>
      <c r="C92" s="22" t="str">
        <f aca="false">IF(C91="","",IF(OR(IF(ISNUMBER(G91),H91,F91)&gt;=$C$7,IF(ISNUMBER(G91),H91,F91)&lt;=0),"",IF(ISNUMBER(G91),H91,F91)))</f>
        <v/>
      </c>
      <c r="D92" s="22" t="str">
        <f aca="false">IF(C92="","",ROUND(C92*$C$8,2))</f>
        <v/>
      </c>
      <c r="E92" s="22" t="str">
        <f aca="false">IF(C92="","",ROUND(C92*$C$9,2))</f>
        <v/>
      </c>
      <c r="F92" s="22" t="str">
        <f aca="false">IF(C92="","",C92+D92)</f>
        <v/>
      </c>
      <c r="G92" s="23" t="str">
        <f aca="false">IF(OR(C92="",NOT(ISNUMBER(H92))),"",ROUND(H92-C92,2))</f>
        <v/>
      </c>
      <c r="H92" s="24"/>
      <c r="I92" s="25" t="str">
        <f aca="false">IF(C92="","",IF(ISNUMBER(G92),IF(G92&lt;-E92,"Actual – Loss (limit breached)",IF(G92&lt;0,"Actual – Loss",IF(G92&gt;0,"Actual – Profit","Actual – No trade"))),"Projection"))</f>
        <v/>
      </c>
      <c r="J92" s="26"/>
      <c r="K92" s="27"/>
    </row>
    <row r="93" customFormat="false" ht="15" hidden="false" customHeight="false" outlineLevel="0" collapsed="false">
      <c r="A93" s="20" t="str">
        <f aca="false">IF(C93="","",ROW()-12)</f>
        <v/>
      </c>
      <c r="B93" s="21" t="str">
        <f aca="false">IF(C93="","",WORKDAY($C$5-1,A93,'NSE Holidays'!$A$5:$A$64))</f>
        <v/>
      </c>
      <c r="C93" s="22" t="str">
        <f aca="false">IF(C92="","",IF(OR(IF(ISNUMBER(G92),H92,F92)&gt;=$C$7,IF(ISNUMBER(G92),H92,F92)&lt;=0),"",IF(ISNUMBER(G92),H92,F92)))</f>
        <v/>
      </c>
      <c r="D93" s="22" t="str">
        <f aca="false">IF(C93="","",ROUND(C93*$C$8,2))</f>
        <v/>
      </c>
      <c r="E93" s="22" t="str">
        <f aca="false">IF(C93="","",ROUND(C93*$C$9,2))</f>
        <v/>
      </c>
      <c r="F93" s="22" t="str">
        <f aca="false">IF(C93="","",C93+D93)</f>
        <v/>
      </c>
      <c r="G93" s="23" t="str">
        <f aca="false">IF(OR(C93="",NOT(ISNUMBER(H93))),"",ROUND(H93-C93,2))</f>
        <v/>
      </c>
      <c r="H93" s="24"/>
      <c r="I93" s="25" t="str">
        <f aca="false">IF(C93="","",IF(ISNUMBER(G93),IF(G93&lt;-E93,"Actual – Loss (limit breached)",IF(G93&lt;0,"Actual – Loss",IF(G93&gt;0,"Actual – Profit","Actual – No trade"))),"Projection"))</f>
        <v/>
      </c>
      <c r="J93" s="26"/>
      <c r="K93" s="27"/>
    </row>
    <row r="94" customFormat="false" ht="15" hidden="false" customHeight="false" outlineLevel="0" collapsed="false">
      <c r="A94" s="20" t="str">
        <f aca="false">IF(C94="","",ROW()-12)</f>
        <v/>
      </c>
      <c r="B94" s="21" t="str">
        <f aca="false">IF(C94="","",WORKDAY($C$5-1,A94,'NSE Holidays'!$A$5:$A$64))</f>
        <v/>
      </c>
      <c r="C94" s="22" t="str">
        <f aca="false">IF(C93="","",IF(OR(IF(ISNUMBER(G93),H93,F93)&gt;=$C$7,IF(ISNUMBER(G93),H93,F93)&lt;=0),"",IF(ISNUMBER(G93),H93,F93)))</f>
        <v/>
      </c>
      <c r="D94" s="22" t="str">
        <f aca="false">IF(C94="","",ROUND(C94*$C$8,2))</f>
        <v/>
      </c>
      <c r="E94" s="22" t="str">
        <f aca="false">IF(C94="","",ROUND(C94*$C$9,2))</f>
        <v/>
      </c>
      <c r="F94" s="22" t="str">
        <f aca="false">IF(C94="","",C94+D94)</f>
        <v/>
      </c>
      <c r="G94" s="23" t="str">
        <f aca="false">IF(OR(C94="",NOT(ISNUMBER(H94))),"",ROUND(H94-C94,2))</f>
        <v/>
      </c>
      <c r="H94" s="24"/>
      <c r="I94" s="25" t="str">
        <f aca="false">IF(C94="","",IF(ISNUMBER(G94),IF(G94&lt;-E94,"Actual – Loss (limit breached)",IF(G94&lt;0,"Actual – Loss",IF(G94&gt;0,"Actual – Profit","Actual – No trade"))),"Projection"))</f>
        <v/>
      </c>
      <c r="J94" s="26"/>
      <c r="K94" s="27"/>
    </row>
    <row r="95" customFormat="false" ht="15" hidden="false" customHeight="false" outlineLevel="0" collapsed="false">
      <c r="A95" s="20" t="str">
        <f aca="false">IF(C95="","",ROW()-12)</f>
        <v/>
      </c>
      <c r="B95" s="21" t="str">
        <f aca="false">IF(C95="","",WORKDAY($C$5-1,A95,'NSE Holidays'!$A$5:$A$64))</f>
        <v/>
      </c>
      <c r="C95" s="22" t="str">
        <f aca="false">IF(C94="","",IF(OR(IF(ISNUMBER(G94),H94,F94)&gt;=$C$7,IF(ISNUMBER(G94),H94,F94)&lt;=0),"",IF(ISNUMBER(G94),H94,F94)))</f>
        <v/>
      </c>
      <c r="D95" s="22" t="str">
        <f aca="false">IF(C95="","",ROUND(C95*$C$8,2))</f>
        <v/>
      </c>
      <c r="E95" s="22" t="str">
        <f aca="false">IF(C95="","",ROUND(C95*$C$9,2))</f>
        <v/>
      </c>
      <c r="F95" s="22" t="str">
        <f aca="false">IF(C95="","",C95+D95)</f>
        <v/>
      </c>
      <c r="G95" s="23" t="str">
        <f aca="false">IF(OR(C95="",NOT(ISNUMBER(H95))),"",ROUND(H95-C95,2))</f>
        <v/>
      </c>
      <c r="H95" s="24"/>
      <c r="I95" s="25" t="str">
        <f aca="false">IF(C95="","",IF(ISNUMBER(G95),IF(G95&lt;-E95,"Actual – Loss (limit breached)",IF(G95&lt;0,"Actual – Loss",IF(G95&gt;0,"Actual – Profit","Actual – No trade"))),"Projection"))</f>
        <v/>
      </c>
      <c r="J95" s="26"/>
      <c r="K95" s="27"/>
    </row>
    <row r="96" customFormat="false" ht="15" hidden="false" customHeight="false" outlineLevel="0" collapsed="false">
      <c r="A96" s="20" t="str">
        <f aca="false">IF(C96="","",ROW()-12)</f>
        <v/>
      </c>
      <c r="B96" s="21" t="str">
        <f aca="false">IF(C96="","",WORKDAY($C$5-1,A96,'NSE Holidays'!$A$5:$A$64))</f>
        <v/>
      </c>
      <c r="C96" s="22" t="str">
        <f aca="false">IF(C95="","",IF(OR(IF(ISNUMBER(G95),H95,F95)&gt;=$C$7,IF(ISNUMBER(G95),H95,F95)&lt;=0),"",IF(ISNUMBER(G95),H95,F95)))</f>
        <v/>
      </c>
      <c r="D96" s="22" t="str">
        <f aca="false">IF(C96="","",ROUND(C96*$C$8,2))</f>
        <v/>
      </c>
      <c r="E96" s="22" t="str">
        <f aca="false">IF(C96="","",ROUND(C96*$C$9,2))</f>
        <v/>
      </c>
      <c r="F96" s="22" t="str">
        <f aca="false">IF(C96="","",C96+D96)</f>
        <v/>
      </c>
      <c r="G96" s="23" t="str">
        <f aca="false">IF(OR(C96="",NOT(ISNUMBER(H96))),"",ROUND(H96-C96,2))</f>
        <v/>
      </c>
      <c r="H96" s="24"/>
      <c r="I96" s="25" t="str">
        <f aca="false">IF(C96="","",IF(ISNUMBER(G96),IF(G96&lt;-E96,"Actual – Loss (limit breached)",IF(G96&lt;0,"Actual – Loss",IF(G96&gt;0,"Actual – Profit","Actual – No trade"))),"Projection"))</f>
        <v/>
      </c>
      <c r="J96" s="26"/>
      <c r="K96" s="27"/>
    </row>
    <row r="97" customFormat="false" ht="15" hidden="false" customHeight="false" outlineLevel="0" collapsed="false">
      <c r="A97" s="20" t="str">
        <f aca="false">IF(C97="","",ROW()-12)</f>
        <v/>
      </c>
      <c r="B97" s="21" t="str">
        <f aca="false">IF(C97="","",WORKDAY($C$5-1,A97,'NSE Holidays'!$A$5:$A$64))</f>
        <v/>
      </c>
      <c r="C97" s="22" t="str">
        <f aca="false">IF(C96="","",IF(OR(IF(ISNUMBER(G96),H96,F96)&gt;=$C$7,IF(ISNUMBER(G96),H96,F96)&lt;=0),"",IF(ISNUMBER(G96),H96,F96)))</f>
        <v/>
      </c>
      <c r="D97" s="22" t="str">
        <f aca="false">IF(C97="","",ROUND(C97*$C$8,2))</f>
        <v/>
      </c>
      <c r="E97" s="22" t="str">
        <f aca="false">IF(C97="","",ROUND(C97*$C$9,2))</f>
        <v/>
      </c>
      <c r="F97" s="22" t="str">
        <f aca="false">IF(C97="","",C97+D97)</f>
        <v/>
      </c>
      <c r="G97" s="23" t="str">
        <f aca="false">IF(OR(C97="",NOT(ISNUMBER(H97))),"",ROUND(H97-C97,2))</f>
        <v/>
      </c>
      <c r="H97" s="24"/>
      <c r="I97" s="25" t="str">
        <f aca="false">IF(C97="","",IF(ISNUMBER(G97),IF(G97&lt;-E97,"Actual – Loss (limit breached)",IF(G97&lt;0,"Actual – Loss",IF(G97&gt;0,"Actual – Profit","Actual – No trade"))),"Projection"))</f>
        <v/>
      </c>
      <c r="J97" s="26"/>
      <c r="K97" s="27"/>
    </row>
    <row r="98" customFormat="false" ht="15" hidden="false" customHeight="false" outlineLevel="0" collapsed="false">
      <c r="A98" s="20" t="str">
        <f aca="false">IF(C98="","",ROW()-12)</f>
        <v/>
      </c>
      <c r="B98" s="21" t="str">
        <f aca="false">IF(C98="","",WORKDAY($C$5-1,A98,'NSE Holidays'!$A$5:$A$64))</f>
        <v/>
      </c>
      <c r="C98" s="22" t="str">
        <f aca="false">IF(C97="","",IF(OR(IF(ISNUMBER(G97),H97,F97)&gt;=$C$7,IF(ISNUMBER(G97),H97,F97)&lt;=0),"",IF(ISNUMBER(G97),H97,F97)))</f>
        <v/>
      </c>
      <c r="D98" s="22" t="str">
        <f aca="false">IF(C98="","",ROUND(C98*$C$8,2))</f>
        <v/>
      </c>
      <c r="E98" s="22" t="str">
        <f aca="false">IF(C98="","",ROUND(C98*$C$9,2))</f>
        <v/>
      </c>
      <c r="F98" s="22" t="str">
        <f aca="false">IF(C98="","",C98+D98)</f>
        <v/>
      </c>
      <c r="G98" s="23" t="str">
        <f aca="false">IF(OR(C98="",NOT(ISNUMBER(H98))),"",ROUND(H98-C98,2))</f>
        <v/>
      </c>
      <c r="H98" s="24"/>
      <c r="I98" s="25" t="str">
        <f aca="false">IF(C98="","",IF(ISNUMBER(G98),IF(G98&lt;-E98,"Actual – Loss (limit breached)",IF(G98&lt;0,"Actual – Loss",IF(G98&gt;0,"Actual – Profit","Actual – No trade"))),"Projection"))</f>
        <v/>
      </c>
      <c r="J98" s="26"/>
      <c r="K98" s="27"/>
    </row>
    <row r="99" customFormat="false" ht="15" hidden="false" customHeight="false" outlineLevel="0" collapsed="false">
      <c r="A99" s="20" t="str">
        <f aca="false">IF(C99="","",ROW()-12)</f>
        <v/>
      </c>
      <c r="B99" s="21" t="str">
        <f aca="false">IF(C99="","",WORKDAY($C$5-1,A99,'NSE Holidays'!$A$5:$A$64))</f>
        <v/>
      </c>
      <c r="C99" s="22" t="str">
        <f aca="false">IF(C98="","",IF(OR(IF(ISNUMBER(G98),H98,F98)&gt;=$C$7,IF(ISNUMBER(G98),H98,F98)&lt;=0),"",IF(ISNUMBER(G98),H98,F98)))</f>
        <v/>
      </c>
      <c r="D99" s="22" t="str">
        <f aca="false">IF(C99="","",ROUND(C99*$C$8,2))</f>
        <v/>
      </c>
      <c r="E99" s="22" t="str">
        <f aca="false">IF(C99="","",ROUND(C99*$C$9,2))</f>
        <v/>
      </c>
      <c r="F99" s="22" t="str">
        <f aca="false">IF(C99="","",C99+D99)</f>
        <v/>
      </c>
      <c r="G99" s="23" t="str">
        <f aca="false">IF(OR(C99="",NOT(ISNUMBER(H99))),"",ROUND(H99-C99,2))</f>
        <v/>
      </c>
      <c r="H99" s="24"/>
      <c r="I99" s="25" t="str">
        <f aca="false">IF(C99="","",IF(ISNUMBER(G99),IF(G99&lt;-E99,"Actual – Loss (limit breached)",IF(G99&lt;0,"Actual – Loss",IF(G99&gt;0,"Actual – Profit","Actual – No trade"))),"Projection"))</f>
        <v/>
      </c>
      <c r="J99" s="26"/>
      <c r="K99" s="27"/>
    </row>
    <row r="100" customFormat="false" ht="15" hidden="false" customHeight="false" outlineLevel="0" collapsed="false">
      <c r="A100" s="20" t="str">
        <f aca="false">IF(C100="","",ROW()-12)</f>
        <v/>
      </c>
      <c r="B100" s="21" t="str">
        <f aca="false">IF(C100="","",WORKDAY($C$5-1,A100,'NSE Holidays'!$A$5:$A$64))</f>
        <v/>
      </c>
      <c r="C100" s="22" t="str">
        <f aca="false">IF(C99="","",IF(OR(IF(ISNUMBER(G99),H99,F99)&gt;=$C$7,IF(ISNUMBER(G99),H99,F99)&lt;=0),"",IF(ISNUMBER(G99),H99,F99)))</f>
        <v/>
      </c>
      <c r="D100" s="22" t="str">
        <f aca="false">IF(C100="","",ROUND(C100*$C$8,2))</f>
        <v/>
      </c>
      <c r="E100" s="22" t="str">
        <f aca="false">IF(C100="","",ROUND(C100*$C$9,2))</f>
        <v/>
      </c>
      <c r="F100" s="22" t="str">
        <f aca="false">IF(C100="","",C100+D100)</f>
        <v/>
      </c>
      <c r="G100" s="23" t="str">
        <f aca="false">IF(OR(C100="",NOT(ISNUMBER(H100))),"",ROUND(H100-C100,2))</f>
        <v/>
      </c>
      <c r="H100" s="24"/>
      <c r="I100" s="25" t="str">
        <f aca="false">IF(C100="","",IF(ISNUMBER(G100),IF(G100&lt;-E100,"Actual – Loss (limit breached)",IF(G100&lt;0,"Actual – Loss",IF(G100&gt;0,"Actual – Profit","Actual – No trade"))),"Projection"))</f>
        <v/>
      </c>
      <c r="J100" s="26"/>
      <c r="K100" s="27"/>
    </row>
    <row r="101" customFormat="false" ht="15" hidden="false" customHeight="false" outlineLevel="0" collapsed="false">
      <c r="A101" s="20" t="str">
        <f aca="false">IF(C101="","",ROW()-12)</f>
        <v/>
      </c>
      <c r="B101" s="21" t="str">
        <f aca="false">IF(C101="","",WORKDAY($C$5-1,A101,'NSE Holidays'!$A$5:$A$64))</f>
        <v/>
      </c>
      <c r="C101" s="22" t="str">
        <f aca="false">IF(C100="","",IF(OR(IF(ISNUMBER(G100),H100,F100)&gt;=$C$7,IF(ISNUMBER(G100),H100,F100)&lt;=0),"",IF(ISNUMBER(G100),H100,F100)))</f>
        <v/>
      </c>
      <c r="D101" s="22" t="str">
        <f aca="false">IF(C101="","",ROUND(C101*$C$8,2))</f>
        <v/>
      </c>
      <c r="E101" s="22" t="str">
        <f aca="false">IF(C101="","",ROUND(C101*$C$9,2))</f>
        <v/>
      </c>
      <c r="F101" s="22" t="str">
        <f aca="false">IF(C101="","",C101+D101)</f>
        <v/>
      </c>
      <c r="G101" s="23" t="str">
        <f aca="false">IF(OR(C101="",NOT(ISNUMBER(H101))),"",ROUND(H101-C101,2))</f>
        <v/>
      </c>
      <c r="H101" s="24"/>
      <c r="I101" s="25" t="str">
        <f aca="false">IF(C101="","",IF(ISNUMBER(G101),IF(G101&lt;-E101,"Actual – Loss (limit breached)",IF(G101&lt;0,"Actual – Loss",IF(G101&gt;0,"Actual – Profit","Actual – No trade"))),"Projection"))</f>
        <v/>
      </c>
      <c r="J101" s="26"/>
      <c r="K101" s="27"/>
    </row>
    <row r="102" customFormat="false" ht="15" hidden="false" customHeight="false" outlineLevel="0" collapsed="false">
      <c r="A102" s="20" t="str">
        <f aca="false">IF(C102="","",ROW()-12)</f>
        <v/>
      </c>
      <c r="B102" s="21" t="str">
        <f aca="false">IF(C102="","",WORKDAY($C$5-1,A102,'NSE Holidays'!$A$5:$A$64))</f>
        <v/>
      </c>
      <c r="C102" s="22" t="str">
        <f aca="false">IF(C101="","",IF(OR(IF(ISNUMBER(G101),H101,F101)&gt;=$C$7,IF(ISNUMBER(G101),H101,F101)&lt;=0),"",IF(ISNUMBER(G101),H101,F101)))</f>
        <v/>
      </c>
      <c r="D102" s="22" t="str">
        <f aca="false">IF(C102="","",ROUND(C102*$C$8,2))</f>
        <v/>
      </c>
      <c r="E102" s="22" t="str">
        <f aca="false">IF(C102="","",ROUND(C102*$C$9,2))</f>
        <v/>
      </c>
      <c r="F102" s="22" t="str">
        <f aca="false">IF(C102="","",C102+D102)</f>
        <v/>
      </c>
      <c r="G102" s="23" t="str">
        <f aca="false">IF(OR(C102="",NOT(ISNUMBER(H102))),"",ROUND(H102-C102,2))</f>
        <v/>
      </c>
      <c r="H102" s="24"/>
      <c r="I102" s="25" t="str">
        <f aca="false">IF(C102="","",IF(ISNUMBER(G102),IF(G102&lt;-E102,"Actual – Loss (limit breached)",IF(G102&lt;0,"Actual – Loss",IF(G102&gt;0,"Actual – Profit","Actual – No trade"))),"Projection"))</f>
        <v/>
      </c>
      <c r="J102" s="26"/>
      <c r="K102" s="27"/>
    </row>
    <row r="103" customFormat="false" ht="15" hidden="false" customHeight="false" outlineLevel="0" collapsed="false">
      <c r="A103" s="20" t="str">
        <f aca="false">IF(C103="","",ROW()-12)</f>
        <v/>
      </c>
      <c r="B103" s="21" t="str">
        <f aca="false">IF(C103="","",WORKDAY($C$5-1,A103,'NSE Holidays'!$A$5:$A$64))</f>
        <v/>
      </c>
      <c r="C103" s="22" t="str">
        <f aca="false">IF(C102="","",IF(OR(IF(ISNUMBER(G102),H102,F102)&gt;=$C$7,IF(ISNUMBER(G102),H102,F102)&lt;=0),"",IF(ISNUMBER(G102),H102,F102)))</f>
        <v/>
      </c>
      <c r="D103" s="22" t="str">
        <f aca="false">IF(C103="","",ROUND(C103*$C$8,2))</f>
        <v/>
      </c>
      <c r="E103" s="22" t="str">
        <f aca="false">IF(C103="","",ROUND(C103*$C$9,2))</f>
        <v/>
      </c>
      <c r="F103" s="22" t="str">
        <f aca="false">IF(C103="","",C103+D103)</f>
        <v/>
      </c>
      <c r="G103" s="23" t="str">
        <f aca="false">IF(OR(C103="",NOT(ISNUMBER(H103))),"",ROUND(H103-C103,2))</f>
        <v/>
      </c>
      <c r="H103" s="24"/>
      <c r="I103" s="25" t="str">
        <f aca="false">IF(C103="","",IF(ISNUMBER(G103),IF(G103&lt;-E103,"Actual – Loss (limit breached)",IF(G103&lt;0,"Actual – Loss",IF(G103&gt;0,"Actual – Profit","Actual – No trade"))),"Projection"))</f>
        <v/>
      </c>
      <c r="J103" s="26"/>
      <c r="K103" s="27"/>
    </row>
    <row r="104" customFormat="false" ht="15" hidden="false" customHeight="false" outlineLevel="0" collapsed="false">
      <c r="A104" s="20" t="str">
        <f aca="false">IF(C104="","",ROW()-12)</f>
        <v/>
      </c>
      <c r="B104" s="21" t="str">
        <f aca="false">IF(C104="","",WORKDAY($C$5-1,A104,'NSE Holidays'!$A$5:$A$64))</f>
        <v/>
      </c>
      <c r="C104" s="22" t="str">
        <f aca="false">IF(C103="","",IF(OR(IF(ISNUMBER(G103),H103,F103)&gt;=$C$7,IF(ISNUMBER(G103),H103,F103)&lt;=0),"",IF(ISNUMBER(G103),H103,F103)))</f>
        <v/>
      </c>
      <c r="D104" s="22" t="str">
        <f aca="false">IF(C104="","",ROUND(C104*$C$8,2))</f>
        <v/>
      </c>
      <c r="E104" s="22" t="str">
        <f aca="false">IF(C104="","",ROUND(C104*$C$9,2))</f>
        <v/>
      </c>
      <c r="F104" s="22" t="str">
        <f aca="false">IF(C104="","",C104+D104)</f>
        <v/>
      </c>
      <c r="G104" s="23" t="str">
        <f aca="false">IF(OR(C104="",NOT(ISNUMBER(H104))),"",ROUND(H104-C104,2))</f>
        <v/>
      </c>
      <c r="H104" s="24"/>
      <c r="I104" s="25" t="str">
        <f aca="false">IF(C104="","",IF(ISNUMBER(G104),IF(G104&lt;-E104,"Actual – Loss (limit breached)",IF(G104&lt;0,"Actual – Loss",IF(G104&gt;0,"Actual – Profit","Actual – No trade"))),"Projection"))</f>
        <v/>
      </c>
      <c r="J104" s="26"/>
      <c r="K104" s="27"/>
    </row>
    <row r="105" customFormat="false" ht="15" hidden="false" customHeight="false" outlineLevel="0" collapsed="false">
      <c r="A105" s="20" t="str">
        <f aca="false">IF(C105="","",ROW()-12)</f>
        <v/>
      </c>
      <c r="B105" s="21" t="str">
        <f aca="false">IF(C105="","",WORKDAY($C$5-1,A105,'NSE Holidays'!$A$5:$A$64))</f>
        <v/>
      </c>
      <c r="C105" s="22" t="str">
        <f aca="false">IF(C104="","",IF(OR(IF(ISNUMBER(G104),H104,F104)&gt;=$C$7,IF(ISNUMBER(G104),H104,F104)&lt;=0),"",IF(ISNUMBER(G104),H104,F104)))</f>
        <v/>
      </c>
      <c r="D105" s="22" t="str">
        <f aca="false">IF(C105="","",ROUND(C105*$C$8,2))</f>
        <v/>
      </c>
      <c r="E105" s="22" t="str">
        <f aca="false">IF(C105="","",ROUND(C105*$C$9,2))</f>
        <v/>
      </c>
      <c r="F105" s="22" t="str">
        <f aca="false">IF(C105="","",C105+D105)</f>
        <v/>
      </c>
      <c r="G105" s="23" t="str">
        <f aca="false">IF(OR(C105="",NOT(ISNUMBER(H105))),"",ROUND(H105-C105,2))</f>
        <v/>
      </c>
      <c r="H105" s="24"/>
      <c r="I105" s="25" t="str">
        <f aca="false">IF(C105="","",IF(ISNUMBER(G105),IF(G105&lt;-E105,"Actual – Loss (limit breached)",IF(G105&lt;0,"Actual – Loss",IF(G105&gt;0,"Actual – Profit","Actual – No trade"))),"Projection"))</f>
        <v/>
      </c>
      <c r="J105" s="26"/>
      <c r="K105" s="27"/>
    </row>
    <row r="106" customFormat="false" ht="15" hidden="false" customHeight="false" outlineLevel="0" collapsed="false">
      <c r="A106" s="20" t="str">
        <f aca="false">IF(C106="","",ROW()-12)</f>
        <v/>
      </c>
      <c r="B106" s="21" t="str">
        <f aca="false">IF(C106="","",WORKDAY($C$5-1,A106,'NSE Holidays'!$A$5:$A$64))</f>
        <v/>
      </c>
      <c r="C106" s="22" t="str">
        <f aca="false">IF(C105="","",IF(OR(IF(ISNUMBER(G105),H105,F105)&gt;=$C$7,IF(ISNUMBER(G105),H105,F105)&lt;=0),"",IF(ISNUMBER(G105),H105,F105)))</f>
        <v/>
      </c>
      <c r="D106" s="22" t="str">
        <f aca="false">IF(C106="","",ROUND(C106*$C$8,2))</f>
        <v/>
      </c>
      <c r="E106" s="22" t="str">
        <f aca="false">IF(C106="","",ROUND(C106*$C$9,2))</f>
        <v/>
      </c>
      <c r="F106" s="22" t="str">
        <f aca="false">IF(C106="","",C106+D106)</f>
        <v/>
      </c>
      <c r="G106" s="23" t="str">
        <f aca="false">IF(OR(C106="",NOT(ISNUMBER(H106))),"",ROUND(H106-C106,2))</f>
        <v/>
      </c>
      <c r="H106" s="24"/>
      <c r="I106" s="25" t="str">
        <f aca="false">IF(C106="","",IF(ISNUMBER(G106),IF(G106&lt;-E106,"Actual – Loss (limit breached)",IF(G106&lt;0,"Actual – Loss",IF(G106&gt;0,"Actual – Profit","Actual – No trade"))),"Projection"))</f>
        <v/>
      </c>
      <c r="J106" s="26"/>
      <c r="K106" s="27"/>
    </row>
    <row r="107" customFormat="false" ht="15" hidden="false" customHeight="false" outlineLevel="0" collapsed="false">
      <c r="A107" s="20" t="str">
        <f aca="false">IF(C107="","",ROW()-12)</f>
        <v/>
      </c>
      <c r="B107" s="21" t="str">
        <f aca="false">IF(C107="","",WORKDAY($C$5-1,A107,'NSE Holidays'!$A$5:$A$64))</f>
        <v/>
      </c>
      <c r="C107" s="22" t="str">
        <f aca="false">IF(C106="","",IF(OR(IF(ISNUMBER(G106),H106,F106)&gt;=$C$7,IF(ISNUMBER(G106),H106,F106)&lt;=0),"",IF(ISNUMBER(G106),H106,F106)))</f>
        <v/>
      </c>
      <c r="D107" s="22" t="str">
        <f aca="false">IF(C107="","",ROUND(C107*$C$8,2))</f>
        <v/>
      </c>
      <c r="E107" s="22" t="str">
        <f aca="false">IF(C107="","",ROUND(C107*$C$9,2))</f>
        <v/>
      </c>
      <c r="F107" s="22" t="str">
        <f aca="false">IF(C107="","",C107+D107)</f>
        <v/>
      </c>
      <c r="G107" s="23" t="str">
        <f aca="false">IF(OR(C107="",NOT(ISNUMBER(H107))),"",ROUND(H107-C107,2))</f>
        <v/>
      </c>
      <c r="H107" s="24"/>
      <c r="I107" s="25" t="str">
        <f aca="false">IF(C107="","",IF(ISNUMBER(G107),IF(G107&lt;-E107,"Actual – Loss (limit breached)",IF(G107&lt;0,"Actual – Loss",IF(G107&gt;0,"Actual – Profit","Actual – No trade"))),"Projection"))</f>
        <v/>
      </c>
      <c r="J107" s="26"/>
      <c r="K107" s="27"/>
    </row>
    <row r="108" customFormat="false" ht="15" hidden="false" customHeight="false" outlineLevel="0" collapsed="false">
      <c r="A108" s="20" t="str">
        <f aca="false">IF(C108="","",ROW()-12)</f>
        <v/>
      </c>
      <c r="B108" s="21" t="str">
        <f aca="false">IF(C108="","",WORKDAY($C$5-1,A108,'NSE Holidays'!$A$5:$A$64))</f>
        <v/>
      </c>
      <c r="C108" s="22" t="str">
        <f aca="false">IF(C107="","",IF(OR(IF(ISNUMBER(G107),H107,F107)&gt;=$C$7,IF(ISNUMBER(G107),H107,F107)&lt;=0),"",IF(ISNUMBER(G107),H107,F107)))</f>
        <v/>
      </c>
      <c r="D108" s="22" t="str">
        <f aca="false">IF(C108="","",ROUND(C108*$C$8,2))</f>
        <v/>
      </c>
      <c r="E108" s="22" t="str">
        <f aca="false">IF(C108="","",ROUND(C108*$C$9,2))</f>
        <v/>
      </c>
      <c r="F108" s="22" t="str">
        <f aca="false">IF(C108="","",C108+D108)</f>
        <v/>
      </c>
      <c r="G108" s="23" t="str">
        <f aca="false">IF(OR(C108="",NOT(ISNUMBER(H108))),"",ROUND(H108-C108,2))</f>
        <v/>
      </c>
      <c r="H108" s="24"/>
      <c r="I108" s="25" t="str">
        <f aca="false">IF(C108="","",IF(ISNUMBER(G108),IF(G108&lt;-E108,"Actual – Loss (limit breached)",IF(G108&lt;0,"Actual – Loss",IF(G108&gt;0,"Actual – Profit","Actual – No trade"))),"Projection"))</f>
        <v/>
      </c>
      <c r="J108" s="26"/>
      <c r="K108" s="27"/>
    </row>
    <row r="109" customFormat="false" ht="15" hidden="false" customHeight="false" outlineLevel="0" collapsed="false">
      <c r="A109" s="20" t="str">
        <f aca="false">IF(C109="","",ROW()-12)</f>
        <v/>
      </c>
      <c r="B109" s="21" t="str">
        <f aca="false">IF(C109="","",WORKDAY($C$5-1,A109,'NSE Holidays'!$A$5:$A$64))</f>
        <v/>
      </c>
      <c r="C109" s="22" t="str">
        <f aca="false">IF(C108="","",IF(OR(IF(ISNUMBER(G108),H108,F108)&gt;=$C$7,IF(ISNUMBER(G108),H108,F108)&lt;=0),"",IF(ISNUMBER(G108),H108,F108)))</f>
        <v/>
      </c>
      <c r="D109" s="22" t="str">
        <f aca="false">IF(C109="","",ROUND(C109*$C$8,2))</f>
        <v/>
      </c>
      <c r="E109" s="22" t="str">
        <f aca="false">IF(C109="","",ROUND(C109*$C$9,2))</f>
        <v/>
      </c>
      <c r="F109" s="22" t="str">
        <f aca="false">IF(C109="","",C109+D109)</f>
        <v/>
      </c>
      <c r="G109" s="23" t="str">
        <f aca="false">IF(OR(C109="",NOT(ISNUMBER(H109))),"",ROUND(H109-C109,2))</f>
        <v/>
      </c>
      <c r="H109" s="24"/>
      <c r="I109" s="25" t="str">
        <f aca="false">IF(C109="","",IF(ISNUMBER(G109),IF(G109&lt;-E109,"Actual – Loss (limit breached)",IF(G109&lt;0,"Actual – Loss",IF(G109&gt;0,"Actual – Profit","Actual – No trade"))),"Projection"))</f>
        <v/>
      </c>
      <c r="J109" s="26"/>
      <c r="K109" s="27"/>
    </row>
    <row r="110" customFormat="false" ht="15" hidden="false" customHeight="false" outlineLevel="0" collapsed="false">
      <c r="A110" s="20" t="str">
        <f aca="false">IF(C110="","",ROW()-12)</f>
        <v/>
      </c>
      <c r="B110" s="21" t="str">
        <f aca="false">IF(C110="","",WORKDAY($C$5-1,A110,'NSE Holidays'!$A$5:$A$64))</f>
        <v/>
      </c>
      <c r="C110" s="22" t="str">
        <f aca="false">IF(C109="","",IF(OR(IF(ISNUMBER(G109),H109,F109)&gt;=$C$7,IF(ISNUMBER(G109),H109,F109)&lt;=0),"",IF(ISNUMBER(G109),H109,F109)))</f>
        <v/>
      </c>
      <c r="D110" s="22" t="str">
        <f aca="false">IF(C110="","",ROUND(C110*$C$8,2))</f>
        <v/>
      </c>
      <c r="E110" s="22" t="str">
        <f aca="false">IF(C110="","",ROUND(C110*$C$9,2))</f>
        <v/>
      </c>
      <c r="F110" s="22" t="str">
        <f aca="false">IF(C110="","",C110+D110)</f>
        <v/>
      </c>
      <c r="G110" s="23" t="str">
        <f aca="false">IF(OR(C110="",NOT(ISNUMBER(H110))),"",ROUND(H110-C110,2))</f>
        <v/>
      </c>
      <c r="H110" s="24"/>
      <c r="I110" s="25" t="str">
        <f aca="false">IF(C110="","",IF(ISNUMBER(G110),IF(G110&lt;-E110,"Actual – Loss (limit breached)",IF(G110&lt;0,"Actual – Loss",IF(G110&gt;0,"Actual – Profit","Actual – No trade"))),"Projection"))</f>
        <v/>
      </c>
      <c r="J110" s="26"/>
      <c r="K110" s="27"/>
    </row>
    <row r="111" customFormat="false" ht="15" hidden="false" customHeight="false" outlineLevel="0" collapsed="false">
      <c r="A111" s="20" t="str">
        <f aca="false">IF(C111="","",ROW()-12)</f>
        <v/>
      </c>
      <c r="B111" s="21" t="str">
        <f aca="false">IF(C111="","",WORKDAY($C$5-1,A111,'NSE Holidays'!$A$5:$A$64))</f>
        <v/>
      </c>
      <c r="C111" s="22" t="str">
        <f aca="false">IF(C110="","",IF(OR(IF(ISNUMBER(G110),H110,F110)&gt;=$C$7,IF(ISNUMBER(G110),H110,F110)&lt;=0),"",IF(ISNUMBER(G110),H110,F110)))</f>
        <v/>
      </c>
      <c r="D111" s="22" t="str">
        <f aca="false">IF(C111="","",ROUND(C111*$C$8,2))</f>
        <v/>
      </c>
      <c r="E111" s="22" t="str">
        <f aca="false">IF(C111="","",ROUND(C111*$C$9,2))</f>
        <v/>
      </c>
      <c r="F111" s="22" t="str">
        <f aca="false">IF(C111="","",C111+D111)</f>
        <v/>
      </c>
      <c r="G111" s="23" t="str">
        <f aca="false">IF(OR(C111="",NOT(ISNUMBER(H111))),"",ROUND(H111-C111,2))</f>
        <v/>
      </c>
      <c r="H111" s="24"/>
      <c r="I111" s="25" t="str">
        <f aca="false">IF(C111="","",IF(ISNUMBER(G111),IF(G111&lt;-E111,"Actual – Loss (limit breached)",IF(G111&lt;0,"Actual – Loss",IF(G111&gt;0,"Actual – Profit","Actual – No trade"))),"Projection"))</f>
        <v/>
      </c>
      <c r="J111" s="26"/>
      <c r="K111" s="27"/>
    </row>
    <row r="112" customFormat="false" ht="15" hidden="false" customHeight="false" outlineLevel="0" collapsed="false">
      <c r="A112" s="20" t="str">
        <f aca="false">IF(C112="","",ROW()-12)</f>
        <v/>
      </c>
      <c r="B112" s="21" t="str">
        <f aca="false">IF(C112="","",WORKDAY($C$5-1,A112,'NSE Holidays'!$A$5:$A$64))</f>
        <v/>
      </c>
      <c r="C112" s="22" t="str">
        <f aca="false">IF(C111="","",IF(OR(IF(ISNUMBER(G111),H111,F111)&gt;=$C$7,IF(ISNUMBER(G111),H111,F111)&lt;=0),"",IF(ISNUMBER(G111),H111,F111)))</f>
        <v/>
      </c>
      <c r="D112" s="22" t="str">
        <f aca="false">IF(C112="","",ROUND(C112*$C$8,2))</f>
        <v/>
      </c>
      <c r="E112" s="22" t="str">
        <f aca="false">IF(C112="","",ROUND(C112*$C$9,2))</f>
        <v/>
      </c>
      <c r="F112" s="22" t="str">
        <f aca="false">IF(C112="","",C112+D112)</f>
        <v/>
      </c>
      <c r="G112" s="23" t="str">
        <f aca="false">IF(OR(C112="",NOT(ISNUMBER(H112))),"",ROUND(H112-C112,2))</f>
        <v/>
      </c>
      <c r="H112" s="24"/>
      <c r="I112" s="25" t="str">
        <f aca="false">IF(C112="","",IF(ISNUMBER(G112),IF(G112&lt;-E112,"Actual – Loss (limit breached)",IF(G112&lt;0,"Actual – Loss",IF(G112&gt;0,"Actual – Profit","Actual – No trade"))),"Projection"))</f>
        <v/>
      </c>
      <c r="J112" s="26"/>
      <c r="K112" s="27"/>
    </row>
    <row r="113" customFormat="false" ht="15" hidden="false" customHeight="false" outlineLevel="0" collapsed="false">
      <c r="A113" s="20" t="str">
        <f aca="false">IF(C113="","",ROW()-12)</f>
        <v/>
      </c>
      <c r="B113" s="21" t="str">
        <f aca="false">IF(C113="","",WORKDAY($C$5-1,A113,'NSE Holidays'!$A$5:$A$64))</f>
        <v/>
      </c>
      <c r="C113" s="22" t="str">
        <f aca="false">IF(C112="","",IF(OR(IF(ISNUMBER(G112),H112,F112)&gt;=$C$7,IF(ISNUMBER(G112),H112,F112)&lt;=0),"",IF(ISNUMBER(G112),H112,F112)))</f>
        <v/>
      </c>
      <c r="D113" s="22" t="str">
        <f aca="false">IF(C113="","",ROUND(C113*$C$8,2))</f>
        <v/>
      </c>
      <c r="E113" s="22" t="str">
        <f aca="false">IF(C113="","",ROUND(C113*$C$9,2))</f>
        <v/>
      </c>
      <c r="F113" s="22" t="str">
        <f aca="false">IF(C113="","",C113+D113)</f>
        <v/>
      </c>
      <c r="G113" s="23" t="str">
        <f aca="false">IF(OR(C113="",NOT(ISNUMBER(H113))),"",ROUND(H113-C113,2))</f>
        <v/>
      </c>
      <c r="H113" s="24"/>
      <c r="I113" s="25" t="str">
        <f aca="false">IF(C113="","",IF(ISNUMBER(G113),IF(G113&lt;-E113,"Actual – Loss (limit breached)",IF(G113&lt;0,"Actual – Loss",IF(G113&gt;0,"Actual – Profit","Actual – No trade"))),"Projection"))</f>
        <v/>
      </c>
      <c r="J113" s="26"/>
      <c r="K113" s="27"/>
    </row>
    <row r="114" customFormat="false" ht="15" hidden="false" customHeight="false" outlineLevel="0" collapsed="false">
      <c r="A114" s="20" t="str">
        <f aca="false">IF(C114="","",ROW()-12)</f>
        <v/>
      </c>
      <c r="B114" s="21" t="str">
        <f aca="false">IF(C114="","",WORKDAY($C$5-1,A114,'NSE Holidays'!$A$5:$A$64))</f>
        <v/>
      </c>
      <c r="C114" s="22" t="str">
        <f aca="false">IF(C113="","",IF(OR(IF(ISNUMBER(G113),H113,F113)&gt;=$C$7,IF(ISNUMBER(G113),H113,F113)&lt;=0),"",IF(ISNUMBER(G113),H113,F113)))</f>
        <v/>
      </c>
      <c r="D114" s="22" t="str">
        <f aca="false">IF(C114="","",ROUND(C114*$C$8,2))</f>
        <v/>
      </c>
      <c r="E114" s="22" t="str">
        <f aca="false">IF(C114="","",ROUND(C114*$C$9,2))</f>
        <v/>
      </c>
      <c r="F114" s="22" t="str">
        <f aca="false">IF(C114="","",C114+D114)</f>
        <v/>
      </c>
      <c r="G114" s="23" t="str">
        <f aca="false">IF(OR(C114="",NOT(ISNUMBER(H114))),"",ROUND(H114-C114,2))</f>
        <v/>
      </c>
      <c r="H114" s="24"/>
      <c r="I114" s="25" t="str">
        <f aca="false">IF(C114="","",IF(ISNUMBER(G114),IF(G114&lt;-E114,"Actual – Loss (limit breached)",IF(G114&lt;0,"Actual – Loss",IF(G114&gt;0,"Actual – Profit","Actual – No trade"))),"Projection"))</f>
        <v/>
      </c>
      <c r="J114" s="26"/>
      <c r="K114" s="27"/>
    </row>
    <row r="115" customFormat="false" ht="15" hidden="false" customHeight="false" outlineLevel="0" collapsed="false">
      <c r="A115" s="20" t="str">
        <f aca="false">IF(C115="","",ROW()-12)</f>
        <v/>
      </c>
      <c r="B115" s="21" t="str">
        <f aca="false">IF(C115="","",WORKDAY($C$5-1,A115,'NSE Holidays'!$A$5:$A$64))</f>
        <v/>
      </c>
      <c r="C115" s="22" t="str">
        <f aca="false">IF(C114="","",IF(OR(IF(ISNUMBER(G114),H114,F114)&gt;=$C$7,IF(ISNUMBER(G114),H114,F114)&lt;=0),"",IF(ISNUMBER(G114),H114,F114)))</f>
        <v/>
      </c>
      <c r="D115" s="22" t="str">
        <f aca="false">IF(C115="","",ROUND(C115*$C$8,2))</f>
        <v/>
      </c>
      <c r="E115" s="22" t="str">
        <f aca="false">IF(C115="","",ROUND(C115*$C$9,2))</f>
        <v/>
      </c>
      <c r="F115" s="22" t="str">
        <f aca="false">IF(C115="","",C115+D115)</f>
        <v/>
      </c>
      <c r="G115" s="23" t="str">
        <f aca="false">IF(OR(C115="",NOT(ISNUMBER(H115))),"",ROUND(H115-C115,2))</f>
        <v/>
      </c>
      <c r="H115" s="24"/>
      <c r="I115" s="25" t="str">
        <f aca="false">IF(C115="","",IF(ISNUMBER(G115),IF(G115&lt;-E115,"Actual – Loss (limit breached)",IF(G115&lt;0,"Actual – Loss",IF(G115&gt;0,"Actual – Profit","Actual – No trade"))),"Projection"))</f>
        <v/>
      </c>
      <c r="J115" s="26"/>
      <c r="K115" s="27"/>
    </row>
    <row r="116" customFormat="false" ht="15" hidden="false" customHeight="false" outlineLevel="0" collapsed="false">
      <c r="A116" s="20" t="str">
        <f aca="false">IF(C116="","",ROW()-12)</f>
        <v/>
      </c>
      <c r="B116" s="21" t="str">
        <f aca="false">IF(C116="","",WORKDAY($C$5-1,A116,'NSE Holidays'!$A$5:$A$64))</f>
        <v/>
      </c>
      <c r="C116" s="22" t="str">
        <f aca="false">IF(C115="","",IF(OR(IF(ISNUMBER(G115),H115,F115)&gt;=$C$7,IF(ISNUMBER(G115),H115,F115)&lt;=0),"",IF(ISNUMBER(G115),H115,F115)))</f>
        <v/>
      </c>
      <c r="D116" s="22" t="str">
        <f aca="false">IF(C116="","",ROUND(C116*$C$8,2))</f>
        <v/>
      </c>
      <c r="E116" s="22" t="str">
        <f aca="false">IF(C116="","",ROUND(C116*$C$9,2))</f>
        <v/>
      </c>
      <c r="F116" s="22" t="str">
        <f aca="false">IF(C116="","",C116+D116)</f>
        <v/>
      </c>
      <c r="G116" s="23" t="str">
        <f aca="false">IF(OR(C116="",NOT(ISNUMBER(H116))),"",ROUND(H116-C116,2))</f>
        <v/>
      </c>
      <c r="H116" s="24"/>
      <c r="I116" s="25" t="str">
        <f aca="false">IF(C116="","",IF(ISNUMBER(G116),IF(G116&lt;-E116,"Actual – Loss (limit breached)",IF(G116&lt;0,"Actual – Loss",IF(G116&gt;0,"Actual – Profit","Actual – No trade"))),"Projection"))</f>
        <v/>
      </c>
      <c r="J116" s="26"/>
      <c r="K116" s="27"/>
    </row>
    <row r="117" customFormat="false" ht="15" hidden="false" customHeight="false" outlineLevel="0" collapsed="false">
      <c r="A117" s="20" t="str">
        <f aca="false">IF(C117="","",ROW()-12)</f>
        <v/>
      </c>
      <c r="B117" s="21" t="str">
        <f aca="false">IF(C117="","",WORKDAY($C$5-1,A117,'NSE Holidays'!$A$5:$A$64))</f>
        <v/>
      </c>
      <c r="C117" s="22" t="str">
        <f aca="false">IF(C116="","",IF(OR(IF(ISNUMBER(G116),H116,F116)&gt;=$C$7,IF(ISNUMBER(G116),H116,F116)&lt;=0),"",IF(ISNUMBER(G116),H116,F116)))</f>
        <v/>
      </c>
      <c r="D117" s="22" t="str">
        <f aca="false">IF(C117="","",ROUND(C117*$C$8,2))</f>
        <v/>
      </c>
      <c r="E117" s="22" t="str">
        <f aca="false">IF(C117="","",ROUND(C117*$C$9,2))</f>
        <v/>
      </c>
      <c r="F117" s="22" t="str">
        <f aca="false">IF(C117="","",C117+D117)</f>
        <v/>
      </c>
      <c r="G117" s="23" t="str">
        <f aca="false">IF(OR(C117="",NOT(ISNUMBER(H117))),"",ROUND(H117-C117,2))</f>
        <v/>
      </c>
      <c r="H117" s="24"/>
      <c r="I117" s="25" t="str">
        <f aca="false">IF(C117="","",IF(ISNUMBER(G117),IF(G117&lt;-E117,"Actual – Loss (limit breached)",IF(G117&lt;0,"Actual – Loss",IF(G117&gt;0,"Actual – Profit","Actual – No trade"))),"Projection"))</f>
        <v/>
      </c>
      <c r="J117" s="26"/>
      <c r="K117" s="27"/>
    </row>
    <row r="118" customFormat="false" ht="15" hidden="false" customHeight="false" outlineLevel="0" collapsed="false">
      <c r="A118" s="20" t="str">
        <f aca="false">IF(C118="","",ROW()-12)</f>
        <v/>
      </c>
      <c r="B118" s="21" t="str">
        <f aca="false">IF(C118="","",WORKDAY($C$5-1,A118,'NSE Holidays'!$A$5:$A$64))</f>
        <v/>
      </c>
      <c r="C118" s="22" t="str">
        <f aca="false">IF(C117="","",IF(OR(IF(ISNUMBER(G117),H117,F117)&gt;=$C$7,IF(ISNUMBER(G117),H117,F117)&lt;=0),"",IF(ISNUMBER(G117),H117,F117)))</f>
        <v/>
      </c>
      <c r="D118" s="22" t="str">
        <f aca="false">IF(C118="","",ROUND(C118*$C$8,2))</f>
        <v/>
      </c>
      <c r="E118" s="22" t="str">
        <f aca="false">IF(C118="","",ROUND(C118*$C$9,2))</f>
        <v/>
      </c>
      <c r="F118" s="22" t="str">
        <f aca="false">IF(C118="","",C118+D118)</f>
        <v/>
      </c>
      <c r="G118" s="23" t="str">
        <f aca="false">IF(OR(C118="",NOT(ISNUMBER(H118))),"",ROUND(H118-C118,2))</f>
        <v/>
      </c>
      <c r="H118" s="24"/>
      <c r="I118" s="25" t="str">
        <f aca="false">IF(C118="","",IF(ISNUMBER(G118),IF(G118&lt;-E118,"Actual – Loss (limit breached)",IF(G118&lt;0,"Actual – Loss",IF(G118&gt;0,"Actual – Profit","Actual – No trade"))),"Projection"))</f>
        <v/>
      </c>
      <c r="J118" s="26"/>
      <c r="K118" s="27"/>
    </row>
    <row r="119" customFormat="false" ht="15" hidden="false" customHeight="false" outlineLevel="0" collapsed="false">
      <c r="A119" s="20" t="str">
        <f aca="false">IF(C119="","",ROW()-12)</f>
        <v/>
      </c>
      <c r="B119" s="21" t="str">
        <f aca="false">IF(C119="","",WORKDAY($C$5-1,A119,'NSE Holidays'!$A$5:$A$64))</f>
        <v/>
      </c>
      <c r="C119" s="22" t="str">
        <f aca="false">IF(C118="","",IF(OR(IF(ISNUMBER(G118),H118,F118)&gt;=$C$7,IF(ISNUMBER(G118),H118,F118)&lt;=0),"",IF(ISNUMBER(G118),H118,F118)))</f>
        <v/>
      </c>
      <c r="D119" s="22" t="str">
        <f aca="false">IF(C119="","",ROUND(C119*$C$8,2))</f>
        <v/>
      </c>
      <c r="E119" s="22" t="str">
        <f aca="false">IF(C119="","",ROUND(C119*$C$9,2))</f>
        <v/>
      </c>
      <c r="F119" s="22" t="str">
        <f aca="false">IF(C119="","",C119+D119)</f>
        <v/>
      </c>
      <c r="G119" s="23" t="str">
        <f aca="false">IF(OR(C119="",NOT(ISNUMBER(H119))),"",ROUND(H119-C119,2))</f>
        <v/>
      </c>
      <c r="H119" s="24"/>
      <c r="I119" s="25" t="str">
        <f aca="false">IF(C119="","",IF(ISNUMBER(G119),IF(G119&lt;-E119,"Actual – Loss (limit breached)",IF(G119&lt;0,"Actual – Loss",IF(G119&gt;0,"Actual – Profit","Actual – No trade"))),"Projection"))</f>
        <v/>
      </c>
      <c r="J119" s="26"/>
      <c r="K119" s="27"/>
    </row>
    <row r="120" customFormat="false" ht="15" hidden="false" customHeight="false" outlineLevel="0" collapsed="false">
      <c r="A120" s="20" t="str">
        <f aca="false">IF(C120="","",ROW()-12)</f>
        <v/>
      </c>
      <c r="B120" s="21" t="str">
        <f aca="false">IF(C120="","",WORKDAY($C$5-1,A120,'NSE Holidays'!$A$5:$A$64))</f>
        <v/>
      </c>
      <c r="C120" s="22" t="str">
        <f aca="false">IF(C119="","",IF(OR(IF(ISNUMBER(G119),H119,F119)&gt;=$C$7,IF(ISNUMBER(G119),H119,F119)&lt;=0),"",IF(ISNUMBER(G119),H119,F119)))</f>
        <v/>
      </c>
      <c r="D120" s="22" t="str">
        <f aca="false">IF(C120="","",ROUND(C120*$C$8,2))</f>
        <v/>
      </c>
      <c r="E120" s="22" t="str">
        <f aca="false">IF(C120="","",ROUND(C120*$C$9,2))</f>
        <v/>
      </c>
      <c r="F120" s="22" t="str">
        <f aca="false">IF(C120="","",C120+D120)</f>
        <v/>
      </c>
      <c r="G120" s="23" t="str">
        <f aca="false">IF(OR(C120="",NOT(ISNUMBER(H120))),"",ROUND(H120-C120,2))</f>
        <v/>
      </c>
      <c r="H120" s="24"/>
      <c r="I120" s="25" t="str">
        <f aca="false">IF(C120="","",IF(ISNUMBER(G120),IF(G120&lt;-E120,"Actual – Loss (limit breached)",IF(G120&lt;0,"Actual – Loss",IF(G120&gt;0,"Actual – Profit","Actual – No trade"))),"Projection"))</f>
        <v/>
      </c>
      <c r="J120" s="26"/>
      <c r="K120" s="27"/>
    </row>
    <row r="121" customFormat="false" ht="15" hidden="false" customHeight="false" outlineLevel="0" collapsed="false">
      <c r="A121" s="20" t="str">
        <f aca="false">IF(C121="","",ROW()-12)</f>
        <v/>
      </c>
      <c r="B121" s="21" t="str">
        <f aca="false">IF(C121="","",WORKDAY($C$5-1,A121,'NSE Holidays'!$A$5:$A$64))</f>
        <v/>
      </c>
      <c r="C121" s="22" t="str">
        <f aca="false">IF(C120="","",IF(OR(IF(ISNUMBER(G120),H120,F120)&gt;=$C$7,IF(ISNUMBER(G120),H120,F120)&lt;=0),"",IF(ISNUMBER(G120),H120,F120)))</f>
        <v/>
      </c>
      <c r="D121" s="22" t="str">
        <f aca="false">IF(C121="","",ROUND(C121*$C$8,2))</f>
        <v/>
      </c>
      <c r="E121" s="22" t="str">
        <f aca="false">IF(C121="","",ROUND(C121*$C$9,2))</f>
        <v/>
      </c>
      <c r="F121" s="22" t="str">
        <f aca="false">IF(C121="","",C121+D121)</f>
        <v/>
      </c>
      <c r="G121" s="23" t="str">
        <f aca="false">IF(OR(C121="",NOT(ISNUMBER(H121))),"",ROUND(H121-C121,2))</f>
        <v/>
      </c>
      <c r="H121" s="24"/>
      <c r="I121" s="25" t="str">
        <f aca="false">IF(C121="","",IF(ISNUMBER(G121),IF(G121&lt;-E121,"Actual – Loss (limit breached)",IF(G121&lt;0,"Actual – Loss",IF(G121&gt;0,"Actual – Profit","Actual – No trade"))),"Projection"))</f>
        <v/>
      </c>
      <c r="J121" s="26"/>
      <c r="K121" s="27"/>
    </row>
    <row r="122" customFormat="false" ht="15" hidden="false" customHeight="false" outlineLevel="0" collapsed="false">
      <c r="A122" s="20" t="str">
        <f aca="false">IF(C122="","",ROW()-12)</f>
        <v/>
      </c>
      <c r="B122" s="21" t="str">
        <f aca="false">IF(C122="","",WORKDAY($C$5-1,A122,'NSE Holidays'!$A$5:$A$64))</f>
        <v/>
      </c>
      <c r="C122" s="22" t="str">
        <f aca="false">IF(C121="","",IF(OR(IF(ISNUMBER(G121),H121,F121)&gt;=$C$7,IF(ISNUMBER(G121),H121,F121)&lt;=0),"",IF(ISNUMBER(G121),H121,F121)))</f>
        <v/>
      </c>
      <c r="D122" s="22" t="str">
        <f aca="false">IF(C122="","",ROUND(C122*$C$8,2))</f>
        <v/>
      </c>
      <c r="E122" s="22" t="str">
        <f aca="false">IF(C122="","",ROUND(C122*$C$9,2))</f>
        <v/>
      </c>
      <c r="F122" s="22" t="str">
        <f aca="false">IF(C122="","",C122+D122)</f>
        <v/>
      </c>
      <c r="G122" s="23" t="str">
        <f aca="false">IF(OR(C122="",NOT(ISNUMBER(H122))),"",ROUND(H122-C122,2))</f>
        <v/>
      </c>
      <c r="H122" s="24"/>
      <c r="I122" s="25" t="str">
        <f aca="false">IF(C122="","",IF(ISNUMBER(G122),IF(G122&lt;-E122,"Actual – Loss (limit breached)",IF(G122&lt;0,"Actual – Loss",IF(G122&gt;0,"Actual – Profit","Actual – No trade"))),"Projection"))</f>
        <v/>
      </c>
      <c r="J122" s="26"/>
      <c r="K122" s="27"/>
    </row>
    <row r="123" customFormat="false" ht="15" hidden="false" customHeight="false" outlineLevel="0" collapsed="false">
      <c r="A123" s="20" t="str">
        <f aca="false">IF(C123="","",ROW()-12)</f>
        <v/>
      </c>
      <c r="B123" s="21" t="str">
        <f aca="false">IF(C123="","",WORKDAY($C$5-1,A123,'NSE Holidays'!$A$5:$A$64))</f>
        <v/>
      </c>
      <c r="C123" s="22" t="str">
        <f aca="false">IF(C122="","",IF(OR(IF(ISNUMBER(G122),H122,F122)&gt;=$C$7,IF(ISNUMBER(G122),H122,F122)&lt;=0),"",IF(ISNUMBER(G122),H122,F122)))</f>
        <v/>
      </c>
      <c r="D123" s="22" t="str">
        <f aca="false">IF(C123="","",ROUND(C123*$C$8,2))</f>
        <v/>
      </c>
      <c r="E123" s="22" t="str">
        <f aca="false">IF(C123="","",ROUND(C123*$C$9,2))</f>
        <v/>
      </c>
      <c r="F123" s="22" t="str">
        <f aca="false">IF(C123="","",C123+D123)</f>
        <v/>
      </c>
      <c r="G123" s="23" t="str">
        <f aca="false">IF(OR(C123="",NOT(ISNUMBER(H123))),"",ROUND(H123-C123,2))</f>
        <v/>
      </c>
      <c r="H123" s="24"/>
      <c r="I123" s="25" t="str">
        <f aca="false">IF(C123="","",IF(ISNUMBER(G123),IF(G123&lt;-E123,"Actual – Loss (limit breached)",IF(G123&lt;0,"Actual – Loss",IF(G123&gt;0,"Actual – Profit","Actual – No trade"))),"Projection"))</f>
        <v/>
      </c>
      <c r="J123" s="26"/>
      <c r="K123" s="27"/>
    </row>
    <row r="124" customFormat="false" ht="15" hidden="false" customHeight="false" outlineLevel="0" collapsed="false">
      <c r="A124" s="20" t="str">
        <f aca="false">IF(C124="","",ROW()-12)</f>
        <v/>
      </c>
      <c r="B124" s="21" t="str">
        <f aca="false">IF(C124="","",WORKDAY($C$5-1,A124,'NSE Holidays'!$A$5:$A$64))</f>
        <v/>
      </c>
      <c r="C124" s="22" t="str">
        <f aca="false">IF(C123="","",IF(OR(IF(ISNUMBER(G123),H123,F123)&gt;=$C$7,IF(ISNUMBER(G123),H123,F123)&lt;=0),"",IF(ISNUMBER(G123),H123,F123)))</f>
        <v/>
      </c>
      <c r="D124" s="22" t="str">
        <f aca="false">IF(C124="","",ROUND(C124*$C$8,2))</f>
        <v/>
      </c>
      <c r="E124" s="22" t="str">
        <f aca="false">IF(C124="","",ROUND(C124*$C$9,2))</f>
        <v/>
      </c>
      <c r="F124" s="22" t="str">
        <f aca="false">IF(C124="","",C124+D124)</f>
        <v/>
      </c>
      <c r="G124" s="23" t="str">
        <f aca="false">IF(OR(C124="",NOT(ISNUMBER(H124))),"",ROUND(H124-C124,2))</f>
        <v/>
      </c>
      <c r="H124" s="24"/>
      <c r="I124" s="25" t="str">
        <f aca="false">IF(C124="","",IF(ISNUMBER(G124),IF(G124&lt;-E124,"Actual – Loss (limit breached)",IF(G124&lt;0,"Actual – Loss",IF(G124&gt;0,"Actual – Profit","Actual – No trade"))),"Projection"))</f>
        <v/>
      </c>
      <c r="J124" s="26"/>
      <c r="K124" s="27"/>
    </row>
    <row r="125" customFormat="false" ht="15" hidden="false" customHeight="false" outlineLevel="0" collapsed="false">
      <c r="A125" s="20" t="str">
        <f aca="false">IF(C125="","",ROW()-12)</f>
        <v/>
      </c>
      <c r="B125" s="21" t="str">
        <f aca="false">IF(C125="","",WORKDAY($C$5-1,A125,'NSE Holidays'!$A$5:$A$64))</f>
        <v/>
      </c>
      <c r="C125" s="22" t="str">
        <f aca="false">IF(C124="","",IF(OR(IF(ISNUMBER(G124),H124,F124)&gt;=$C$7,IF(ISNUMBER(G124),H124,F124)&lt;=0),"",IF(ISNUMBER(G124),H124,F124)))</f>
        <v/>
      </c>
      <c r="D125" s="22" t="str">
        <f aca="false">IF(C125="","",ROUND(C125*$C$8,2))</f>
        <v/>
      </c>
      <c r="E125" s="22" t="str">
        <f aca="false">IF(C125="","",ROUND(C125*$C$9,2))</f>
        <v/>
      </c>
      <c r="F125" s="22" t="str">
        <f aca="false">IF(C125="","",C125+D125)</f>
        <v/>
      </c>
      <c r="G125" s="23" t="str">
        <f aca="false">IF(OR(C125="",NOT(ISNUMBER(H125))),"",ROUND(H125-C125,2))</f>
        <v/>
      </c>
      <c r="H125" s="24"/>
      <c r="I125" s="25" t="str">
        <f aca="false">IF(C125="","",IF(ISNUMBER(G125),IF(G125&lt;-E125,"Actual – Loss (limit breached)",IF(G125&lt;0,"Actual – Loss",IF(G125&gt;0,"Actual – Profit","Actual – No trade"))),"Projection"))</f>
        <v/>
      </c>
      <c r="J125" s="26"/>
      <c r="K125" s="27"/>
    </row>
    <row r="126" customFormat="false" ht="15" hidden="false" customHeight="false" outlineLevel="0" collapsed="false">
      <c r="A126" s="20" t="str">
        <f aca="false">IF(C126="","",ROW()-12)</f>
        <v/>
      </c>
      <c r="B126" s="21" t="str">
        <f aca="false">IF(C126="","",WORKDAY($C$5-1,A126,'NSE Holidays'!$A$5:$A$64))</f>
        <v/>
      </c>
      <c r="C126" s="22" t="str">
        <f aca="false">IF(C125="","",IF(OR(IF(ISNUMBER(G125),H125,F125)&gt;=$C$7,IF(ISNUMBER(G125),H125,F125)&lt;=0),"",IF(ISNUMBER(G125),H125,F125)))</f>
        <v/>
      </c>
      <c r="D126" s="22" t="str">
        <f aca="false">IF(C126="","",ROUND(C126*$C$8,2))</f>
        <v/>
      </c>
      <c r="E126" s="22" t="str">
        <f aca="false">IF(C126="","",ROUND(C126*$C$9,2))</f>
        <v/>
      </c>
      <c r="F126" s="22" t="str">
        <f aca="false">IF(C126="","",C126+D126)</f>
        <v/>
      </c>
      <c r="G126" s="23" t="str">
        <f aca="false">IF(OR(C126="",NOT(ISNUMBER(H126))),"",ROUND(H126-C126,2))</f>
        <v/>
      </c>
      <c r="H126" s="24"/>
      <c r="I126" s="25" t="str">
        <f aca="false">IF(C126="","",IF(ISNUMBER(G126),IF(G126&lt;-E126,"Actual – Loss (limit breached)",IF(G126&lt;0,"Actual – Loss",IF(G126&gt;0,"Actual – Profit","Actual – No trade"))),"Projection"))</f>
        <v/>
      </c>
      <c r="J126" s="26"/>
      <c r="K126" s="27"/>
    </row>
    <row r="127" customFormat="false" ht="15" hidden="false" customHeight="false" outlineLevel="0" collapsed="false">
      <c r="A127" s="20" t="str">
        <f aca="false">IF(C127="","",ROW()-12)</f>
        <v/>
      </c>
      <c r="B127" s="21" t="str">
        <f aca="false">IF(C127="","",WORKDAY($C$5-1,A127,'NSE Holidays'!$A$5:$A$64))</f>
        <v/>
      </c>
      <c r="C127" s="22" t="str">
        <f aca="false">IF(C126="","",IF(OR(IF(ISNUMBER(G126),H126,F126)&gt;=$C$7,IF(ISNUMBER(G126),H126,F126)&lt;=0),"",IF(ISNUMBER(G126),H126,F126)))</f>
        <v/>
      </c>
      <c r="D127" s="22" t="str">
        <f aca="false">IF(C127="","",ROUND(C127*$C$8,2))</f>
        <v/>
      </c>
      <c r="E127" s="22" t="str">
        <f aca="false">IF(C127="","",ROUND(C127*$C$9,2))</f>
        <v/>
      </c>
      <c r="F127" s="22" t="str">
        <f aca="false">IF(C127="","",C127+D127)</f>
        <v/>
      </c>
      <c r="G127" s="23" t="str">
        <f aca="false">IF(OR(C127="",NOT(ISNUMBER(H127))),"",ROUND(H127-C127,2))</f>
        <v/>
      </c>
      <c r="H127" s="24"/>
      <c r="I127" s="25" t="str">
        <f aca="false">IF(C127="","",IF(ISNUMBER(G127),IF(G127&lt;-E127,"Actual – Loss (limit breached)",IF(G127&lt;0,"Actual – Loss",IF(G127&gt;0,"Actual – Profit","Actual – No trade"))),"Projection"))</f>
        <v/>
      </c>
      <c r="J127" s="26"/>
      <c r="K127" s="27"/>
    </row>
    <row r="128" customFormat="false" ht="15" hidden="false" customHeight="false" outlineLevel="0" collapsed="false">
      <c r="A128" s="20" t="str">
        <f aca="false">IF(C128="","",ROW()-12)</f>
        <v/>
      </c>
      <c r="B128" s="21" t="str">
        <f aca="false">IF(C128="","",WORKDAY($C$5-1,A128,'NSE Holidays'!$A$5:$A$64))</f>
        <v/>
      </c>
      <c r="C128" s="22" t="str">
        <f aca="false">IF(C127="","",IF(OR(IF(ISNUMBER(G127),H127,F127)&gt;=$C$7,IF(ISNUMBER(G127),H127,F127)&lt;=0),"",IF(ISNUMBER(G127),H127,F127)))</f>
        <v/>
      </c>
      <c r="D128" s="22" t="str">
        <f aca="false">IF(C128="","",ROUND(C128*$C$8,2))</f>
        <v/>
      </c>
      <c r="E128" s="22" t="str">
        <f aca="false">IF(C128="","",ROUND(C128*$C$9,2))</f>
        <v/>
      </c>
      <c r="F128" s="22" t="str">
        <f aca="false">IF(C128="","",C128+D128)</f>
        <v/>
      </c>
      <c r="G128" s="23" t="str">
        <f aca="false">IF(OR(C128="",NOT(ISNUMBER(H128))),"",ROUND(H128-C128,2))</f>
        <v/>
      </c>
      <c r="H128" s="24"/>
      <c r="I128" s="25" t="str">
        <f aca="false">IF(C128="","",IF(ISNUMBER(G128),IF(G128&lt;-E128,"Actual – Loss (limit breached)",IF(G128&lt;0,"Actual – Loss",IF(G128&gt;0,"Actual – Profit","Actual – No trade"))),"Projection"))</f>
        <v/>
      </c>
      <c r="J128" s="26"/>
      <c r="K128" s="27"/>
    </row>
    <row r="129" customFormat="false" ht="15" hidden="false" customHeight="false" outlineLevel="0" collapsed="false">
      <c r="A129" s="20" t="str">
        <f aca="false">IF(C129="","",ROW()-12)</f>
        <v/>
      </c>
      <c r="B129" s="21" t="str">
        <f aca="false">IF(C129="","",WORKDAY($C$5-1,A129,'NSE Holidays'!$A$5:$A$64))</f>
        <v/>
      </c>
      <c r="C129" s="22" t="str">
        <f aca="false">IF(C128="","",IF(OR(IF(ISNUMBER(G128),H128,F128)&gt;=$C$7,IF(ISNUMBER(G128),H128,F128)&lt;=0),"",IF(ISNUMBER(G128),H128,F128)))</f>
        <v/>
      </c>
      <c r="D129" s="22" t="str">
        <f aca="false">IF(C129="","",ROUND(C129*$C$8,2))</f>
        <v/>
      </c>
      <c r="E129" s="22" t="str">
        <f aca="false">IF(C129="","",ROUND(C129*$C$9,2))</f>
        <v/>
      </c>
      <c r="F129" s="22" t="str">
        <f aca="false">IF(C129="","",C129+D129)</f>
        <v/>
      </c>
      <c r="G129" s="23" t="str">
        <f aca="false">IF(OR(C129="",NOT(ISNUMBER(H129))),"",ROUND(H129-C129,2))</f>
        <v/>
      </c>
      <c r="H129" s="24"/>
      <c r="I129" s="25" t="str">
        <f aca="false">IF(C129="","",IF(ISNUMBER(G129),IF(G129&lt;-E129,"Actual – Loss (limit breached)",IF(G129&lt;0,"Actual – Loss",IF(G129&gt;0,"Actual – Profit","Actual – No trade"))),"Projection"))</f>
        <v/>
      </c>
      <c r="J129" s="26"/>
      <c r="K129" s="27"/>
    </row>
    <row r="130" customFormat="false" ht="15" hidden="false" customHeight="false" outlineLevel="0" collapsed="false">
      <c r="A130" s="20" t="str">
        <f aca="false">IF(C130="","",ROW()-12)</f>
        <v/>
      </c>
      <c r="B130" s="21" t="str">
        <f aca="false">IF(C130="","",WORKDAY($C$5-1,A130,'NSE Holidays'!$A$5:$A$64))</f>
        <v/>
      </c>
      <c r="C130" s="22" t="str">
        <f aca="false">IF(C129="","",IF(OR(IF(ISNUMBER(G129),H129,F129)&gt;=$C$7,IF(ISNUMBER(G129),H129,F129)&lt;=0),"",IF(ISNUMBER(G129),H129,F129)))</f>
        <v/>
      </c>
      <c r="D130" s="22" t="str">
        <f aca="false">IF(C130="","",ROUND(C130*$C$8,2))</f>
        <v/>
      </c>
      <c r="E130" s="22" t="str">
        <f aca="false">IF(C130="","",ROUND(C130*$C$9,2))</f>
        <v/>
      </c>
      <c r="F130" s="22" t="str">
        <f aca="false">IF(C130="","",C130+D130)</f>
        <v/>
      </c>
      <c r="G130" s="23" t="str">
        <f aca="false">IF(OR(C130="",NOT(ISNUMBER(H130))),"",ROUND(H130-C130,2))</f>
        <v/>
      </c>
      <c r="H130" s="24"/>
      <c r="I130" s="25" t="str">
        <f aca="false">IF(C130="","",IF(ISNUMBER(G130),IF(G130&lt;-E130,"Actual – Loss (limit breached)",IF(G130&lt;0,"Actual – Loss",IF(G130&gt;0,"Actual – Profit","Actual – No trade"))),"Projection"))</f>
        <v/>
      </c>
      <c r="J130" s="26"/>
      <c r="K130" s="27"/>
    </row>
    <row r="131" customFormat="false" ht="15" hidden="false" customHeight="false" outlineLevel="0" collapsed="false">
      <c r="A131" s="20" t="str">
        <f aca="false">IF(C131="","",ROW()-12)</f>
        <v/>
      </c>
      <c r="B131" s="21" t="str">
        <f aca="false">IF(C131="","",WORKDAY($C$5-1,A131,'NSE Holidays'!$A$5:$A$64))</f>
        <v/>
      </c>
      <c r="C131" s="22" t="str">
        <f aca="false">IF(C130="","",IF(OR(IF(ISNUMBER(G130),H130,F130)&gt;=$C$7,IF(ISNUMBER(G130),H130,F130)&lt;=0),"",IF(ISNUMBER(G130),H130,F130)))</f>
        <v/>
      </c>
      <c r="D131" s="22" t="str">
        <f aca="false">IF(C131="","",ROUND(C131*$C$8,2))</f>
        <v/>
      </c>
      <c r="E131" s="22" t="str">
        <f aca="false">IF(C131="","",ROUND(C131*$C$9,2))</f>
        <v/>
      </c>
      <c r="F131" s="22" t="str">
        <f aca="false">IF(C131="","",C131+D131)</f>
        <v/>
      </c>
      <c r="G131" s="23" t="str">
        <f aca="false">IF(OR(C131="",NOT(ISNUMBER(H131))),"",ROUND(H131-C131,2))</f>
        <v/>
      </c>
      <c r="H131" s="24"/>
      <c r="I131" s="25" t="str">
        <f aca="false">IF(C131="","",IF(ISNUMBER(G131),IF(G131&lt;-E131,"Actual – Loss (limit breached)",IF(G131&lt;0,"Actual – Loss",IF(G131&gt;0,"Actual – Profit","Actual – No trade"))),"Projection"))</f>
        <v/>
      </c>
      <c r="J131" s="26"/>
      <c r="K131" s="27"/>
    </row>
    <row r="132" customFormat="false" ht="15" hidden="false" customHeight="false" outlineLevel="0" collapsed="false">
      <c r="A132" s="20" t="str">
        <f aca="false">IF(C132="","",ROW()-12)</f>
        <v/>
      </c>
      <c r="B132" s="21" t="str">
        <f aca="false">IF(C132="","",WORKDAY($C$5-1,A132,'NSE Holidays'!$A$5:$A$64))</f>
        <v/>
      </c>
      <c r="C132" s="22" t="str">
        <f aca="false">IF(C131="","",IF(OR(IF(ISNUMBER(G131),H131,F131)&gt;=$C$7,IF(ISNUMBER(G131),H131,F131)&lt;=0),"",IF(ISNUMBER(G131),H131,F131)))</f>
        <v/>
      </c>
      <c r="D132" s="22" t="str">
        <f aca="false">IF(C132="","",ROUND(C132*$C$8,2))</f>
        <v/>
      </c>
      <c r="E132" s="22" t="str">
        <f aca="false">IF(C132="","",ROUND(C132*$C$9,2))</f>
        <v/>
      </c>
      <c r="F132" s="22" t="str">
        <f aca="false">IF(C132="","",C132+D132)</f>
        <v/>
      </c>
      <c r="G132" s="23" t="str">
        <f aca="false">IF(OR(C132="",NOT(ISNUMBER(H132))),"",ROUND(H132-C132,2))</f>
        <v/>
      </c>
      <c r="H132" s="24"/>
      <c r="I132" s="25" t="str">
        <f aca="false">IF(C132="","",IF(ISNUMBER(G132),IF(G132&lt;-E132,"Actual – Loss (limit breached)",IF(G132&lt;0,"Actual – Loss",IF(G132&gt;0,"Actual – Profit","Actual – No trade"))),"Projection"))</f>
        <v/>
      </c>
      <c r="J132" s="26"/>
      <c r="K132" s="27"/>
    </row>
    <row r="133" customFormat="false" ht="15" hidden="false" customHeight="false" outlineLevel="0" collapsed="false">
      <c r="A133" s="20" t="str">
        <f aca="false">IF(C133="","",ROW()-12)</f>
        <v/>
      </c>
      <c r="B133" s="21" t="str">
        <f aca="false">IF(C133="","",WORKDAY($C$5-1,A133,'NSE Holidays'!$A$5:$A$64))</f>
        <v/>
      </c>
      <c r="C133" s="22" t="str">
        <f aca="false">IF(C132="","",IF(OR(IF(ISNUMBER(G132),H132,F132)&gt;=$C$7,IF(ISNUMBER(G132),H132,F132)&lt;=0),"",IF(ISNUMBER(G132),H132,F132)))</f>
        <v/>
      </c>
      <c r="D133" s="22" t="str">
        <f aca="false">IF(C133="","",ROUND(C133*$C$8,2))</f>
        <v/>
      </c>
      <c r="E133" s="22" t="str">
        <f aca="false">IF(C133="","",ROUND(C133*$C$9,2))</f>
        <v/>
      </c>
      <c r="F133" s="22" t="str">
        <f aca="false">IF(C133="","",C133+D133)</f>
        <v/>
      </c>
      <c r="G133" s="23" t="str">
        <f aca="false">IF(OR(C133="",NOT(ISNUMBER(H133))),"",ROUND(H133-C133,2))</f>
        <v/>
      </c>
      <c r="H133" s="24"/>
      <c r="I133" s="25" t="str">
        <f aca="false">IF(C133="","",IF(ISNUMBER(G133),IF(G133&lt;-E133,"Actual – Loss (limit breached)",IF(G133&lt;0,"Actual – Loss",IF(G133&gt;0,"Actual – Profit","Actual – No trade"))),"Projection"))</f>
        <v/>
      </c>
      <c r="J133" s="26"/>
      <c r="K133" s="27"/>
    </row>
    <row r="134" customFormat="false" ht="15" hidden="false" customHeight="false" outlineLevel="0" collapsed="false">
      <c r="A134" s="20" t="str">
        <f aca="false">IF(C134="","",ROW()-12)</f>
        <v/>
      </c>
      <c r="B134" s="21" t="str">
        <f aca="false">IF(C134="","",WORKDAY($C$5-1,A134,'NSE Holidays'!$A$5:$A$64))</f>
        <v/>
      </c>
      <c r="C134" s="22" t="str">
        <f aca="false">IF(C133="","",IF(OR(IF(ISNUMBER(G133),H133,F133)&gt;=$C$7,IF(ISNUMBER(G133),H133,F133)&lt;=0),"",IF(ISNUMBER(G133),H133,F133)))</f>
        <v/>
      </c>
      <c r="D134" s="22" t="str">
        <f aca="false">IF(C134="","",ROUND(C134*$C$8,2))</f>
        <v/>
      </c>
      <c r="E134" s="22" t="str">
        <f aca="false">IF(C134="","",ROUND(C134*$C$9,2))</f>
        <v/>
      </c>
      <c r="F134" s="22" t="str">
        <f aca="false">IF(C134="","",C134+D134)</f>
        <v/>
      </c>
      <c r="G134" s="23" t="str">
        <f aca="false">IF(OR(C134="",NOT(ISNUMBER(H134))),"",ROUND(H134-C134,2))</f>
        <v/>
      </c>
      <c r="H134" s="24"/>
      <c r="I134" s="25" t="str">
        <f aca="false">IF(C134="","",IF(ISNUMBER(G134),IF(G134&lt;-E134,"Actual – Loss (limit breached)",IF(G134&lt;0,"Actual – Loss",IF(G134&gt;0,"Actual – Profit","Actual – No trade"))),"Projection"))</f>
        <v/>
      </c>
      <c r="J134" s="26"/>
      <c r="K134" s="27"/>
    </row>
    <row r="135" customFormat="false" ht="15" hidden="false" customHeight="false" outlineLevel="0" collapsed="false">
      <c r="A135" s="20" t="str">
        <f aca="false">IF(C135="","",ROW()-12)</f>
        <v/>
      </c>
      <c r="B135" s="21" t="str">
        <f aca="false">IF(C135="","",WORKDAY($C$5-1,A135,'NSE Holidays'!$A$5:$A$64))</f>
        <v/>
      </c>
      <c r="C135" s="22" t="str">
        <f aca="false">IF(C134="","",IF(OR(IF(ISNUMBER(G134),H134,F134)&gt;=$C$7,IF(ISNUMBER(G134),H134,F134)&lt;=0),"",IF(ISNUMBER(G134),H134,F134)))</f>
        <v/>
      </c>
      <c r="D135" s="22" t="str">
        <f aca="false">IF(C135="","",ROUND(C135*$C$8,2))</f>
        <v/>
      </c>
      <c r="E135" s="22" t="str">
        <f aca="false">IF(C135="","",ROUND(C135*$C$9,2))</f>
        <v/>
      </c>
      <c r="F135" s="22" t="str">
        <f aca="false">IF(C135="","",C135+D135)</f>
        <v/>
      </c>
      <c r="G135" s="23" t="str">
        <f aca="false">IF(OR(C135="",NOT(ISNUMBER(H135))),"",ROUND(H135-C135,2))</f>
        <v/>
      </c>
      <c r="H135" s="24"/>
      <c r="I135" s="25" t="str">
        <f aca="false">IF(C135="","",IF(ISNUMBER(G135),IF(G135&lt;-E135,"Actual – Loss (limit breached)",IF(G135&lt;0,"Actual – Loss",IF(G135&gt;0,"Actual – Profit","Actual – No trade"))),"Projection"))</f>
        <v/>
      </c>
      <c r="J135" s="26"/>
      <c r="K135" s="27"/>
    </row>
    <row r="136" customFormat="false" ht="15" hidden="false" customHeight="false" outlineLevel="0" collapsed="false">
      <c r="A136" s="20" t="str">
        <f aca="false">IF(C136="","",ROW()-12)</f>
        <v/>
      </c>
      <c r="B136" s="21" t="str">
        <f aca="false">IF(C136="","",WORKDAY($C$5-1,A136,'NSE Holidays'!$A$5:$A$64))</f>
        <v/>
      </c>
      <c r="C136" s="22" t="str">
        <f aca="false">IF(C135="","",IF(OR(IF(ISNUMBER(G135),H135,F135)&gt;=$C$7,IF(ISNUMBER(G135),H135,F135)&lt;=0),"",IF(ISNUMBER(G135),H135,F135)))</f>
        <v/>
      </c>
      <c r="D136" s="22" t="str">
        <f aca="false">IF(C136="","",ROUND(C136*$C$8,2))</f>
        <v/>
      </c>
      <c r="E136" s="22" t="str">
        <f aca="false">IF(C136="","",ROUND(C136*$C$9,2))</f>
        <v/>
      </c>
      <c r="F136" s="22" t="str">
        <f aca="false">IF(C136="","",C136+D136)</f>
        <v/>
      </c>
      <c r="G136" s="23" t="str">
        <f aca="false">IF(OR(C136="",NOT(ISNUMBER(H136))),"",ROUND(H136-C136,2))</f>
        <v/>
      </c>
      <c r="H136" s="24"/>
      <c r="I136" s="25" t="str">
        <f aca="false">IF(C136="","",IF(ISNUMBER(G136),IF(G136&lt;-E136,"Actual – Loss (limit breached)",IF(G136&lt;0,"Actual – Loss",IF(G136&gt;0,"Actual – Profit","Actual – No trade"))),"Projection"))</f>
        <v/>
      </c>
      <c r="J136" s="26"/>
      <c r="K136" s="27"/>
    </row>
    <row r="137" customFormat="false" ht="15" hidden="false" customHeight="false" outlineLevel="0" collapsed="false">
      <c r="A137" s="20" t="str">
        <f aca="false">IF(C137="","",ROW()-12)</f>
        <v/>
      </c>
      <c r="B137" s="21" t="str">
        <f aca="false">IF(C137="","",WORKDAY($C$5-1,A137,'NSE Holidays'!$A$5:$A$64))</f>
        <v/>
      </c>
      <c r="C137" s="22" t="str">
        <f aca="false">IF(C136="","",IF(OR(IF(ISNUMBER(G136),H136,F136)&gt;=$C$7,IF(ISNUMBER(G136),H136,F136)&lt;=0),"",IF(ISNUMBER(G136),H136,F136)))</f>
        <v/>
      </c>
      <c r="D137" s="22" t="str">
        <f aca="false">IF(C137="","",ROUND(C137*$C$8,2))</f>
        <v/>
      </c>
      <c r="E137" s="22" t="str">
        <f aca="false">IF(C137="","",ROUND(C137*$C$9,2))</f>
        <v/>
      </c>
      <c r="F137" s="22" t="str">
        <f aca="false">IF(C137="","",C137+D137)</f>
        <v/>
      </c>
      <c r="G137" s="23" t="str">
        <f aca="false">IF(OR(C137="",NOT(ISNUMBER(H137))),"",ROUND(H137-C137,2))</f>
        <v/>
      </c>
      <c r="H137" s="24"/>
      <c r="I137" s="25" t="str">
        <f aca="false">IF(C137="","",IF(ISNUMBER(G137),IF(G137&lt;-E137,"Actual – Loss (limit breached)",IF(G137&lt;0,"Actual – Loss",IF(G137&gt;0,"Actual – Profit","Actual – No trade"))),"Projection"))</f>
        <v/>
      </c>
      <c r="J137" s="26"/>
      <c r="K137" s="27"/>
    </row>
    <row r="138" customFormat="false" ht="15" hidden="false" customHeight="false" outlineLevel="0" collapsed="false">
      <c r="A138" s="20" t="str">
        <f aca="false">IF(C138="","",ROW()-12)</f>
        <v/>
      </c>
      <c r="B138" s="21" t="str">
        <f aca="false">IF(C138="","",WORKDAY($C$5-1,A138,'NSE Holidays'!$A$5:$A$64))</f>
        <v/>
      </c>
      <c r="C138" s="22" t="str">
        <f aca="false">IF(C137="","",IF(OR(IF(ISNUMBER(G137),H137,F137)&gt;=$C$7,IF(ISNUMBER(G137),H137,F137)&lt;=0),"",IF(ISNUMBER(G137),H137,F137)))</f>
        <v/>
      </c>
      <c r="D138" s="22" t="str">
        <f aca="false">IF(C138="","",ROUND(C138*$C$8,2))</f>
        <v/>
      </c>
      <c r="E138" s="22" t="str">
        <f aca="false">IF(C138="","",ROUND(C138*$C$9,2))</f>
        <v/>
      </c>
      <c r="F138" s="22" t="str">
        <f aca="false">IF(C138="","",C138+D138)</f>
        <v/>
      </c>
      <c r="G138" s="23" t="str">
        <f aca="false">IF(OR(C138="",NOT(ISNUMBER(H138))),"",ROUND(H138-C138,2))</f>
        <v/>
      </c>
      <c r="H138" s="24"/>
      <c r="I138" s="25" t="str">
        <f aca="false">IF(C138="","",IF(ISNUMBER(G138),IF(G138&lt;-E138,"Actual – Loss (limit breached)",IF(G138&lt;0,"Actual – Loss",IF(G138&gt;0,"Actual – Profit","Actual – No trade"))),"Projection"))</f>
        <v/>
      </c>
      <c r="J138" s="26"/>
      <c r="K138" s="27"/>
    </row>
    <row r="139" customFormat="false" ht="15" hidden="false" customHeight="false" outlineLevel="0" collapsed="false">
      <c r="A139" s="20" t="str">
        <f aca="false">IF(C139="","",ROW()-12)</f>
        <v/>
      </c>
      <c r="B139" s="21" t="str">
        <f aca="false">IF(C139="","",WORKDAY($C$5-1,A139,'NSE Holidays'!$A$5:$A$64))</f>
        <v/>
      </c>
      <c r="C139" s="22" t="str">
        <f aca="false">IF(C138="","",IF(OR(IF(ISNUMBER(G138),H138,F138)&gt;=$C$7,IF(ISNUMBER(G138),H138,F138)&lt;=0),"",IF(ISNUMBER(G138),H138,F138)))</f>
        <v/>
      </c>
      <c r="D139" s="22" t="str">
        <f aca="false">IF(C139="","",ROUND(C139*$C$8,2))</f>
        <v/>
      </c>
      <c r="E139" s="22" t="str">
        <f aca="false">IF(C139="","",ROUND(C139*$C$9,2))</f>
        <v/>
      </c>
      <c r="F139" s="22" t="str">
        <f aca="false">IF(C139="","",C139+D139)</f>
        <v/>
      </c>
      <c r="G139" s="23" t="str">
        <f aca="false">IF(OR(C139="",NOT(ISNUMBER(H139))),"",ROUND(H139-C139,2))</f>
        <v/>
      </c>
      <c r="H139" s="24"/>
      <c r="I139" s="25" t="str">
        <f aca="false">IF(C139="","",IF(ISNUMBER(G139),IF(G139&lt;-E139,"Actual – Loss (limit breached)",IF(G139&lt;0,"Actual – Loss",IF(G139&gt;0,"Actual – Profit","Actual – No trade"))),"Projection"))</f>
        <v/>
      </c>
      <c r="J139" s="26"/>
      <c r="K139" s="27"/>
    </row>
    <row r="140" customFormat="false" ht="15" hidden="false" customHeight="false" outlineLevel="0" collapsed="false">
      <c r="A140" s="20" t="str">
        <f aca="false">IF(C140="","",ROW()-12)</f>
        <v/>
      </c>
      <c r="B140" s="21" t="str">
        <f aca="false">IF(C140="","",WORKDAY($C$5-1,A140,'NSE Holidays'!$A$5:$A$64))</f>
        <v/>
      </c>
      <c r="C140" s="22" t="str">
        <f aca="false">IF(C139="","",IF(OR(IF(ISNUMBER(G139),H139,F139)&gt;=$C$7,IF(ISNUMBER(G139),H139,F139)&lt;=0),"",IF(ISNUMBER(G139),H139,F139)))</f>
        <v/>
      </c>
      <c r="D140" s="22" t="str">
        <f aca="false">IF(C140="","",ROUND(C140*$C$8,2))</f>
        <v/>
      </c>
      <c r="E140" s="22" t="str">
        <f aca="false">IF(C140="","",ROUND(C140*$C$9,2))</f>
        <v/>
      </c>
      <c r="F140" s="22" t="str">
        <f aca="false">IF(C140="","",C140+D140)</f>
        <v/>
      </c>
      <c r="G140" s="23" t="str">
        <f aca="false">IF(OR(C140="",NOT(ISNUMBER(H140))),"",ROUND(H140-C140,2))</f>
        <v/>
      </c>
      <c r="H140" s="24"/>
      <c r="I140" s="25" t="str">
        <f aca="false">IF(C140="","",IF(ISNUMBER(G140),IF(G140&lt;-E140,"Actual – Loss (limit breached)",IF(G140&lt;0,"Actual – Loss",IF(G140&gt;0,"Actual – Profit","Actual – No trade"))),"Projection"))</f>
        <v/>
      </c>
      <c r="J140" s="26"/>
      <c r="K140" s="27"/>
    </row>
    <row r="141" customFormat="false" ht="15" hidden="false" customHeight="false" outlineLevel="0" collapsed="false">
      <c r="A141" s="20" t="str">
        <f aca="false">IF(C141="","",ROW()-12)</f>
        <v/>
      </c>
      <c r="B141" s="21" t="str">
        <f aca="false">IF(C141="","",WORKDAY($C$5-1,A141,'NSE Holidays'!$A$5:$A$64))</f>
        <v/>
      </c>
      <c r="C141" s="22" t="str">
        <f aca="false">IF(C140="","",IF(OR(IF(ISNUMBER(G140),H140,F140)&gt;=$C$7,IF(ISNUMBER(G140),H140,F140)&lt;=0),"",IF(ISNUMBER(G140),H140,F140)))</f>
        <v/>
      </c>
      <c r="D141" s="22" t="str">
        <f aca="false">IF(C141="","",ROUND(C141*$C$8,2))</f>
        <v/>
      </c>
      <c r="E141" s="22" t="str">
        <f aca="false">IF(C141="","",ROUND(C141*$C$9,2))</f>
        <v/>
      </c>
      <c r="F141" s="22" t="str">
        <f aca="false">IF(C141="","",C141+D141)</f>
        <v/>
      </c>
      <c r="G141" s="23" t="str">
        <f aca="false">IF(OR(C141="",NOT(ISNUMBER(H141))),"",ROUND(H141-C141,2))</f>
        <v/>
      </c>
      <c r="H141" s="24"/>
      <c r="I141" s="25" t="str">
        <f aca="false">IF(C141="","",IF(ISNUMBER(G141),IF(G141&lt;-E141,"Actual – Loss (limit breached)",IF(G141&lt;0,"Actual – Loss",IF(G141&gt;0,"Actual – Profit","Actual – No trade"))),"Projection"))</f>
        <v/>
      </c>
      <c r="J141" s="26"/>
      <c r="K141" s="27"/>
    </row>
    <row r="142" customFormat="false" ht="15" hidden="false" customHeight="false" outlineLevel="0" collapsed="false">
      <c r="A142" s="20" t="str">
        <f aca="false">IF(C142="","",ROW()-12)</f>
        <v/>
      </c>
      <c r="B142" s="21" t="str">
        <f aca="false">IF(C142="","",WORKDAY($C$5-1,A142,'NSE Holidays'!$A$5:$A$64))</f>
        <v/>
      </c>
      <c r="C142" s="22" t="str">
        <f aca="false">IF(C141="","",IF(OR(IF(ISNUMBER(G141),H141,F141)&gt;=$C$7,IF(ISNUMBER(G141),H141,F141)&lt;=0),"",IF(ISNUMBER(G141),H141,F141)))</f>
        <v/>
      </c>
      <c r="D142" s="22" t="str">
        <f aca="false">IF(C142="","",ROUND(C142*$C$8,2))</f>
        <v/>
      </c>
      <c r="E142" s="22" t="str">
        <f aca="false">IF(C142="","",ROUND(C142*$C$9,2))</f>
        <v/>
      </c>
      <c r="F142" s="22" t="str">
        <f aca="false">IF(C142="","",C142+D142)</f>
        <v/>
      </c>
      <c r="G142" s="23" t="str">
        <f aca="false">IF(OR(C142="",NOT(ISNUMBER(H142))),"",ROUND(H142-C142,2))</f>
        <v/>
      </c>
      <c r="H142" s="24"/>
      <c r="I142" s="25" t="str">
        <f aca="false">IF(C142="","",IF(ISNUMBER(G142),IF(G142&lt;-E142,"Actual – Loss (limit breached)",IF(G142&lt;0,"Actual – Loss",IF(G142&gt;0,"Actual – Profit","Actual – No trade"))),"Projection"))</f>
        <v/>
      </c>
      <c r="J142" s="26"/>
      <c r="K142" s="27"/>
    </row>
    <row r="143" customFormat="false" ht="15" hidden="false" customHeight="false" outlineLevel="0" collapsed="false">
      <c r="A143" s="20" t="str">
        <f aca="false">IF(C143="","",ROW()-12)</f>
        <v/>
      </c>
      <c r="B143" s="21" t="str">
        <f aca="false">IF(C143="","",WORKDAY($C$5-1,A143,'NSE Holidays'!$A$5:$A$64))</f>
        <v/>
      </c>
      <c r="C143" s="22" t="str">
        <f aca="false">IF(C142="","",IF(OR(IF(ISNUMBER(G142),H142,F142)&gt;=$C$7,IF(ISNUMBER(G142),H142,F142)&lt;=0),"",IF(ISNUMBER(G142),H142,F142)))</f>
        <v/>
      </c>
      <c r="D143" s="22" t="str">
        <f aca="false">IF(C143="","",ROUND(C143*$C$8,2))</f>
        <v/>
      </c>
      <c r="E143" s="22" t="str">
        <f aca="false">IF(C143="","",ROUND(C143*$C$9,2))</f>
        <v/>
      </c>
      <c r="F143" s="22" t="str">
        <f aca="false">IF(C143="","",C143+D143)</f>
        <v/>
      </c>
      <c r="G143" s="23" t="str">
        <f aca="false">IF(OR(C143="",NOT(ISNUMBER(H143))),"",ROUND(H143-C143,2))</f>
        <v/>
      </c>
      <c r="H143" s="24"/>
      <c r="I143" s="25" t="str">
        <f aca="false">IF(C143="","",IF(ISNUMBER(G143),IF(G143&lt;-E143,"Actual – Loss (limit breached)",IF(G143&lt;0,"Actual – Loss",IF(G143&gt;0,"Actual – Profit","Actual – No trade"))),"Projection"))</f>
        <v/>
      </c>
      <c r="J143" s="26"/>
      <c r="K143" s="27"/>
    </row>
    <row r="144" customFormat="false" ht="15" hidden="false" customHeight="false" outlineLevel="0" collapsed="false">
      <c r="A144" s="20" t="str">
        <f aca="false">IF(C144="","",ROW()-12)</f>
        <v/>
      </c>
      <c r="B144" s="21" t="str">
        <f aca="false">IF(C144="","",WORKDAY($C$5-1,A144,'NSE Holidays'!$A$5:$A$64))</f>
        <v/>
      </c>
      <c r="C144" s="22" t="str">
        <f aca="false">IF(C143="","",IF(OR(IF(ISNUMBER(G143),H143,F143)&gt;=$C$7,IF(ISNUMBER(G143),H143,F143)&lt;=0),"",IF(ISNUMBER(G143),H143,F143)))</f>
        <v/>
      </c>
      <c r="D144" s="22" t="str">
        <f aca="false">IF(C144="","",ROUND(C144*$C$8,2))</f>
        <v/>
      </c>
      <c r="E144" s="22" t="str">
        <f aca="false">IF(C144="","",ROUND(C144*$C$9,2))</f>
        <v/>
      </c>
      <c r="F144" s="22" t="str">
        <f aca="false">IF(C144="","",C144+D144)</f>
        <v/>
      </c>
      <c r="G144" s="23" t="str">
        <f aca="false">IF(OR(C144="",NOT(ISNUMBER(H144))),"",ROUND(H144-C144,2))</f>
        <v/>
      </c>
      <c r="H144" s="24"/>
      <c r="I144" s="25" t="str">
        <f aca="false">IF(C144="","",IF(ISNUMBER(G144),IF(G144&lt;-E144,"Actual – Loss (limit breached)",IF(G144&lt;0,"Actual – Loss",IF(G144&gt;0,"Actual – Profit","Actual – No trade"))),"Projection"))</f>
        <v/>
      </c>
      <c r="J144" s="26"/>
      <c r="K144" s="27"/>
    </row>
    <row r="145" customFormat="false" ht="15" hidden="false" customHeight="false" outlineLevel="0" collapsed="false">
      <c r="A145" s="20" t="str">
        <f aca="false">IF(C145="","",ROW()-12)</f>
        <v/>
      </c>
      <c r="B145" s="21" t="str">
        <f aca="false">IF(C145="","",WORKDAY($C$5-1,A145,'NSE Holidays'!$A$5:$A$64))</f>
        <v/>
      </c>
      <c r="C145" s="22" t="str">
        <f aca="false">IF(C144="","",IF(OR(IF(ISNUMBER(G144),H144,F144)&gt;=$C$7,IF(ISNUMBER(G144),H144,F144)&lt;=0),"",IF(ISNUMBER(G144),H144,F144)))</f>
        <v/>
      </c>
      <c r="D145" s="22" t="str">
        <f aca="false">IF(C145="","",ROUND(C145*$C$8,2))</f>
        <v/>
      </c>
      <c r="E145" s="22" t="str">
        <f aca="false">IF(C145="","",ROUND(C145*$C$9,2))</f>
        <v/>
      </c>
      <c r="F145" s="22" t="str">
        <f aca="false">IF(C145="","",C145+D145)</f>
        <v/>
      </c>
      <c r="G145" s="23" t="str">
        <f aca="false">IF(OR(C145="",NOT(ISNUMBER(H145))),"",ROUND(H145-C145,2))</f>
        <v/>
      </c>
      <c r="H145" s="24"/>
      <c r="I145" s="25" t="str">
        <f aca="false">IF(C145="","",IF(ISNUMBER(G145),IF(G145&lt;-E145,"Actual – Loss (limit breached)",IF(G145&lt;0,"Actual – Loss",IF(G145&gt;0,"Actual – Profit","Actual – No trade"))),"Projection"))</f>
        <v/>
      </c>
      <c r="J145" s="26"/>
      <c r="K145" s="27"/>
    </row>
    <row r="146" customFormat="false" ht="15" hidden="false" customHeight="false" outlineLevel="0" collapsed="false">
      <c r="A146" s="20" t="str">
        <f aca="false">IF(C146="","",ROW()-12)</f>
        <v/>
      </c>
      <c r="B146" s="21" t="str">
        <f aca="false">IF(C146="","",WORKDAY($C$5-1,A146,'NSE Holidays'!$A$5:$A$64))</f>
        <v/>
      </c>
      <c r="C146" s="22" t="str">
        <f aca="false">IF(C145="","",IF(OR(IF(ISNUMBER(G145),H145,F145)&gt;=$C$7,IF(ISNUMBER(G145),H145,F145)&lt;=0),"",IF(ISNUMBER(G145),H145,F145)))</f>
        <v/>
      </c>
      <c r="D146" s="22" t="str">
        <f aca="false">IF(C146="","",ROUND(C146*$C$8,2))</f>
        <v/>
      </c>
      <c r="E146" s="22" t="str">
        <f aca="false">IF(C146="","",ROUND(C146*$C$9,2))</f>
        <v/>
      </c>
      <c r="F146" s="22" t="str">
        <f aca="false">IF(C146="","",C146+D146)</f>
        <v/>
      </c>
      <c r="G146" s="23" t="str">
        <f aca="false">IF(OR(C146="",NOT(ISNUMBER(H146))),"",ROUND(H146-C146,2))</f>
        <v/>
      </c>
      <c r="H146" s="24"/>
      <c r="I146" s="25" t="str">
        <f aca="false">IF(C146="","",IF(ISNUMBER(G146),IF(G146&lt;-E146,"Actual – Loss (limit breached)",IF(G146&lt;0,"Actual – Loss",IF(G146&gt;0,"Actual – Profit","Actual – No trade"))),"Projection"))</f>
        <v/>
      </c>
      <c r="J146" s="26"/>
      <c r="K146" s="27"/>
    </row>
    <row r="147" customFormat="false" ht="15" hidden="false" customHeight="false" outlineLevel="0" collapsed="false">
      <c r="A147" s="20" t="str">
        <f aca="false">IF(C147="","",ROW()-12)</f>
        <v/>
      </c>
      <c r="B147" s="21" t="str">
        <f aca="false">IF(C147="","",WORKDAY($C$5-1,A147,'NSE Holidays'!$A$5:$A$64))</f>
        <v/>
      </c>
      <c r="C147" s="22" t="str">
        <f aca="false">IF(C146="","",IF(OR(IF(ISNUMBER(G146),H146,F146)&gt;=$C$7,IF(ISNUMBER(G146),H146,F146)&lt;=0),"",IF(ISNUMBER(G146),H146,F146)))</f>
        <v/>
      </c>
      <c r="D147" s="22" t="str">
        <f aca="false">IF(C147="","",ROUND(C147*$C$8,2))</f>
        <v/>
      </c>
      <c r="E147" s="22" t="str">
        <f aca="false">IF(C147="","",ROUND(C147*$C$9,2))</f>
        <v/>
      </c>
      <c r="F147" s="22" t="str">
        <f aca="false">IF(C147="","",C147+D147)</f>
        <v/>
      </c>
      <c r="G147" s="23" t="str">
        <f aca="false">IF(OR(C147="",NOT(ISNUMBER(H147))),"",ROUND(H147-C147,2))</f>
        <v/>
      </c>
      <c r="H147" s="24"/>
      <c r="I147" s="25" t="str">
        <f aca="false">IF(C147="","",IF(ISNUMBER(G147),IF(G147&lt;-E147,"Actual – Loss (limit breached)",IF(G147&lt;0,"Actual – Loss",IF(G147&gt;0,"Actual – Profit","Actual – No trade"))),"Projection"))</f>
        <v/>
      </c>
      <c r="J147" s="26"/>
      <c r="K147" s="27"/>
    </row>
    <row r="148" customFormat="false" ht="15" hidden="false" customHeight="false" outlineLevel="0" collapsed="false">
      <c r="A148" s="20" t="str">
        <f aca="false">IF(C148="","",ROW()-12)</f>
        <v/>
      </c>
      <c r="B148" s="21" t="str">
        <f aca="false">IF(C148="","",WORKDAY($C$5-1,A148,'NSE Holidays'!$A$5:$A$64))</f>
        <v/>
      </c>
      <c r="C148" s="22" t="str">
        <f aca="false">IF(C147="","",IF(OR(IF(ISNUMBER(G147),H147,F147)&gt;=$C$7,IF(ISNUMBER(G147),H147,F147)&lt;=0),"",IF(ISNUMBER(G147),H147,F147)))</f>
        <v/>
      </c>
      <c r="D148" s="22" t="str">
        <f aca="false">IF(C148="","",ROUND(C148*$C$8,2))</f>
        <v/>
      </c>
      <c r="E148" s="22" t="str">
        <f aca="false">IF(C148="","",ROUND(C148*$C$9,2))</f>
        <v/>
      </c>
      <c r="F148" s="22" t="str">
        <f aca="false">IF(C148="","",C148+D148)</f>
        <v/>
      </c>
      <c r="G148" s="23" t="str">
        <f aca="false">IF(OR(C148="",NOT(ISNUMBER(H148))),"",ROUND(H148-C148,2))</f>
        <v/>
      </c>
      <c r="H148" s="24"/>
      <c r="I148" s="25" t="str">
        <f aca="false">IF(C148="","",IF(ISNUMBER(G148),IF(G148&lt;-E148,"Actual – Loss (limit breached)",IF(G148&lt;0,"Actual – Loss",IF(G148&gt;0,"Actual – Profit","Actual – No trade"))),"Projection"))</f>
        <v/>
      </c>
      <c r="J148" s="26"/>
      <c r="K148" s="27"/>
    </row>
    <row r="149" customFormat="false" ht="15" hidden="false" customHeight="false" outlineLevel="0" collapsed="false">
      <c r="A149" s="20" t="str">
        <f aca="false">IF(C149="","",ROW()-12)</f>
        <v/>
      </c>
      <c r="B149" s="21" t="str">
        <f aca="false">IF(C149="","",WORKDAY($C$5-1,A149,'NSE Holidays'!$A$5:$A$64))</f>
        <v/>
      </c>
      <c r="C149" s="22" t="str">
        <f aca="false">IF(C148="","",IF(OR(IF(ISNUMBER(G148),H148,F148)&gt;=$C$7,IF(ISNUMBER(G148),H148,F148)&lt;=0),"",IF(ISNUMBER(G148),H148,F148)))</f>
        <v/>
      </c>
      <c r="D149" s="22" t="str">
        <f aca="false">IF(C149="","",ROUND(C149*$C$8,2))</f>
        <v/>
      </c>
      <c r="E149" s="22" t="str">
        <f aca="false">IF(C149="","",ROUND(C149*$C$9,2))</f>
        <v/>
      </c>
      <c r="F149" s="22" t="str">
        <f aca="false">IF(C149="","",C149+D149)</f>
        <v/>
      </c>
      <c r="G149" s="23" t="str">
        <f aca="false">IF(OR(C149="",NOT(ISNUMBER(H149))),"",ROUND(H149-C149,2))</f>
        <v/>
      </c>
      <c r="H149" s="24"/>
      <c r="I149" s="25" t="str">
        <f aca="false">IF(C149="","",IF(ISNUMBER(G149),IF(G149&lt;-E149,"Actual – Loss (limit breached)",IF(G149&lt;0,"Actual – Loss",IF(G149&gt;0,"Actual – Profit","Actual – No trade"))),"Projection"))</f>
        <v/>
      </c>
      <c r="J149" s="26"/>
      <c r="K149" s="27"/>
    </row>
    <row r="150" customFormat="false" ht="15" hidden="false" customHeight="false" outlineLevel="0" collapsed="false">
      <c r="A150" s="20" t="str">
        <f aca="false">IF(C150="","",ROW()-12)</f>
        <v/>
      </c>
      <c r="B150" s="21" t="str">
        <f aca="false">IF(C150="","",WORKDAY($C$5-1,A150,'NSE Holidays'!$A$5:$A$64))</f>
        <v/>
      </c>
      <c r="C150" s="22" t="str">
        <f aca="false">IF(C149="","",IF(OR(IF(ISNUMBER(G149),H149,F149)&gt;=$C$7,IF(ISNUMBER(G149),H149,F149)&lt;=0),"",IF(ISNUMBER(G149),H149,F149)))</f>
        <v/>
      </c>
      <c r="D150" s="22" t="str">
        <f aca="false">IF(C150="","",ROUND(C150*$C$8,2))</f>
        <v/>
      </c>
      <c r="E150" s="22" t="str">
        <f aca="false">IF(C150="","",ROUND(C150*$C$9,2))</f>
        <v/>
      </c>
      <c r="F150" s="22" t="str">
        <f aca="false">IF(C150="","",C150+D150)</f>
        <v/>
      </c>
      <c r="G150" s="23" t="str">
        <f aca="false">IF(OR(C150="",NOT(ISNUMBER(H150))),"",ROUND(H150-C150,2))</f>
        <v/>
      </c>
      <c r="H150" s="24"/>
      <c r="I150" s="25" t="str">
        <f aca="false">IF(C150="","",IF(ISNUMBER(G150),IF(G150&lt;-E150,"Actual – Loss (limit breached)",IF(G150&lt;0,"Actual – Loss",IF(G150&gt;0,"Actual – Profit","Actual – No trade"))),"Projection"))</f>
        <v/>
      </c>
      <c r="J150" s="26"/>
      <c r="K150" s="27"/>
    </row>
    <row r="151" customFormat="false" ht="15" hidden="false" customHeight="false" outlineLevel="0" collapsed="false">
      <c r="A151" s="20" t="str">
        <f aca="false">IF(C151="","",ROW()-12)</f>
        <v/>
      </c>
      <c r="B151" s="21" t="str">
        <f aca="false">IF(C151="","",WORKDAY($C$5-1,A151,'NSE Holidays'!$A$5:$A$64))</f>
        <v/>
      </c>
      <c r="C151" s="22" t="str">
        <f aca="false">IF(C150="","",IF(OR(IF(ISNUMBER(G150),H150,F150)&gt;=$C$7,IF(ISNUMBER(G150),H150,F150)&lt;=0),"",IF(ISNUMBER(G150),H150,F150)))</f>
        <v/>
      </c>
      <c r="D151" s="22" t="str">
        <f aca="false">IF(C151="","",ROUND(C151*$C$8,2))</f>
        <v/>
      </c>
      <c r="E151" s="22" t="str">
        <f aca="false">IF(C151="","",ROUND(C151*$C$9,2))</f>
        <v/>
      </c>
      <c r="F151" s="22" t="str">
        <f aca="false">IF(C151="","",C151+D151)</f>
        <v/>
      </c>
      <c r="G151" s="23" t="str">
        <f aca="false">IF(OR(C151="",NOT(ISNUMBER(H151))),"",ROUND(H151-C151,2))</f>
        <v/>
      </c>
      <c r="H151" s="24"/>
      <c r="I151" s="25" t="str">
        <f aca="false">IF(C151="","",IF(ISNUMBER(G151),IF(G151&lt;-E151,"Actual – Loss (limit breached)",IF(G151&lt;0,"Actual – Loss",IF(G151&gt;0,"Actual – Profit","Actual – No trade"))),"Projection"))</f>
        <v/>
      </c>
      <c r="J151" s="26"/>
      <c r="K151" s="27"/>
    </row>
    <row r="152" customFormat="false" ht="15" hidden="false" customHeight="false" outlineLevel="0" collapsed="false">
      <c r="A152" s="20" t="str">
        <f aca="false">IF(C152="","",ROW()-12)</f>
        <v/>
      </c>
      <c r="B152" s="21" t="str">
        <f aca="false">IF(C152="","",WORKDAY($C$5-1,A152,'NSE Holidays'!$A$5:$A$64))</f>
        <v/>
      </c>
      <c r="C152" s="22" t="str">
        <f aca="false">IF(C151="","",IF(OR(IF(ISNUMBER(G151),H151,F151)&gt;=$C$7,IF(ISNUMBER(G151),H151,F151)&lt;=0),"",IF(ISNUMBER(G151),H151,F151)))</f>
        <v/>
      </c>
      <c r="D152" s="22" t="str">
        <f aca="false">IF(C152="","",ROUND(C152*$C$8,2))</f>
        <v/>
      </c>
      <c r="E152" s="22" t="str">
        <f aca="false">IF(C152="","",ROUND(C152*$C$9,2))</f>
        <v/>
      </c>
      <c r="F152" s="22" t="str">
        <f aca="false">IF(C152="","",C152+D152)</f>
        <v/>
      </c>
      <c r="G152" s="23" t="str">
        <f aca="false">IF(OR(C152="",NOT(ISNUMBER(H152))),"",ROUND(H152-C152,2))</f>
        <v/>
      </c>
      <c r="H152" s="24"/>
      <c r="I152" s="25" t="str">
        <f aca="false">IF(C152="","",IF(ISNUMBER(G152),IF(G152&lt;-E152,"Actual – Loss (limit breached)",IF(G152&lt;0,"Actual – Loss",IF(G152&gt;0,"Actual – Profit","Actual – No trade"))),"Projection"))</f>
        <v/>
      </c>
      <c r="J152" s="26"/>
      <c r="K152" s="27"/>
    </row>
    <row r="153" customFormat="false" ht="15" hidden="false" customHeight="false" outlineLevel="0" collapsed="false">
      <c r="A153" s="20" t="str">
        <f aca="false">IF(C153="","",ROW()-12)</f>
        <v/>
      </c>
      <c r="B153" s="21" t="str">
        <f aca="false">IF(C153="","",WORKDAY($C$5-1,A153,'NSE Holidays'!$A$5:$A$64))</f>
        <v/>
      </c>
      <c r="C153" s="22" t="str">
        <f aca="false">IF(C152="","",IF(OR(IF(ISNUMBER(G152),H152,F152)&gt;=$C$7,IF(ISNUMBER(G152),H152,F152)&lt;=0),"",IF(ISNUMBER(G152),H152,F152)))</f>
        <v/>
      </c>
      <c r="D153" s="22" t="str">
        <f aca="false">IF(C153="","",ROUND(C153*$C$8,2))</f>
        <v/>
      </c>
      <c r="E153" s="22" t="str">
        <f aca="false">IF(C153="","",ROUND(C153*$C$9,2))</f>
        <v/>
      </c>
      <c r="F153" s="22" t="str">
        <f aca="false">IF(C153="","",C153+D153)</f>
        <v/>
      </c>
      <c r="G153" s="23" t="str">
        <f aca="false">IF(OR(C153="",NOT(ISNUMBER(H153))),"",ROUND(H153-C153,2))</f>
        <v/>
      </c>
      <c r="H153" s="24"/>
      <c r="I153" s="25" t="str">
        <f aca="false">IF(C153="","",IF(ISNUMBER(G153),IF(G153&lt;-E153,"Actual – Loss (limit breached)",IF(G153&lt;0,"Actual – Loss",IF(G153&gt;0,"Actual – Profit","Actual – No trade"))),"Projection"))</f>
        <v/>
      </c>
      <c r="J153" s="26"/>
      <c r="K153" s="27"/>
    </row>
    <row r="154" customFormat="false" ht="15" hidden="false" customHeight="false" outlineLevel="0" collapsed="false">
      <c r="A154" s="20" t="str">
        <f aca="false">IF(C154="","",ROW()-12)</f>
        <v/>
      </c>
      <c r="B154" s="21" t="str">
        <f aca="false">IF(C154="","",WORKDAY($C$5-1,A154,'NSE Holidays'!$A$5:$A$64))</f>
        <v/>
      </c>
      <c r="C154" s="22" t="str">
        <f aca="false">IF(C153="","",IF(OR(IF(ISNUMBER(G153),H153,F153)&gt;=$C$7,IF(ISNUMBER(G153),H153,F153)&lt;=0),"",IF(ISNUMBER(G153),H153,F153)))</f>
        <v/>
      </c>
      <c r="D154" s="22" t="str">
        <f aca="false">IF(C154="","",ROUND(C154*$C$8,2))</f>
        <v/>
      </c>
      <c r="E154" s="22" t="str">
        <f aca="false">IF(C154="","",ROUND(C154*$C$9,2))</f>
        <v/>
      </c>
      <c r="F154" s="22" t="str">
        <f aca="false">IF(C154="","",C154+D154)</f>
        <v/>
      </c>
      <c r="G154" s="23" t="str">
        <f aca="false">IF(OR(C154="",NOT(ISNUMBER(H154))),"",ROUND(H154-C154,2))</f>
        <v/>
      </c>
      <c r="H154" s="24"/>
      <c r="I154" s="25" t="str">
        <f aca="false">IF(C154="","",IF(ISNUMBER(G154),IF(G154&lt;-E154,"Actual – Loss (limit breached)",IF(G154&lt;0,"Actual – Loss",IF(G154&gt;0,"Actual – Profit","Actual – No trade"))),"Projection"))</f>
        <v/>
      </c>
      <c r="J154" s="26"/>
      <c r="K154" s="27"/>
    </row>
    <row r="155" customFormat="false" ht="15" hidden="false" customHeight="false" outlineLevel="0" collapsed="false">
      <c r="A155" s="20" t="str">
        <f aca="false">IF(C155="","",ROW()-12)</f>
        <v/>
      </c>
      <c r="B155" s="21" t="str">
        <f aca="false">IF(C155="","",WORKDAY($C$5-1,A155,'NSE Holidays'!$A$5:$A$64))</f>
        <v/>
      </c>
      <c r="C155" s="22" t="str">
        <f aca="false">IF(C154="","",IF(OR(IF(ISNUMBER(G154),H154,F154)&gt;=$C$7,IF(ISNUMBER(G154),H154,F154)&lt;=0),"",IF(ISNUMBER(G154),H154,F154)))</f>
        <v/>
      </c>
      <c r="D155" s="22" t="str">
        <f aca="false">IF(C155="","",ROUND(C155*$C$8,2))</f>
        <v/>
      </c>
      <c r="E155" s="22" t="str">
        <f aca="false">IF(C155="","",ROUND(C155*$C$9,2))</f>
        <v/>
      </c>
      <c r="F155" s="22" t="str">
        <f aca="false">IF(C155="","",C155+D155)</f>
        <v/>
      </c>
      <c r="G155" s="23" t="str">
        <f aca="false">IF(OR(C155="",NOT(ISNUMBER(H155))),"",ROUND(H155-C155,2))</f>
        <v/>
      </c>
      <c r="H155" s="24"/>
      <c r="I155" s="25" t="str">
        <f aca="false">IF(C155="","",IF(ISNUMBER(G155),IF(G155&lt;-E155,"Actual – Loss (limit breached)",IF(G155&lt;0,"Actual – Loss",IF(G155&gt;0,"Actual – Profit","Actual – No trade"))),"Projection"))</f>
        <v/>
      </c>
      <c r="J155" s="26"/>
      <c r="K155" s="27"/>
    </row>
    <row r="156" customFormat="false" ht="15" hidden="false" customHeight="false" outlineLevel="0" collapsed="false">
      <c r="A156" s="20" t="str">
        <f aca="false">IF(C156="","",ROW()-12)</f>
        <v/>
      </c>
      <c r="B156" s="21" t="str">
        <f aca="false">IF(C156="","",WORKDAY($C$5-1,A156,'NSE Holidays'!$A$5:$A$64))</f>
        <v/>
      </c>
      <c r="C156" s="22" t="str">
        <f aca="false">IF(C155="","",IF(OR(IF(ISNUMBER(G155),H155,F155)&gt;=$C$7,IF(ISNUMBER(G155),H155,F155)&lt;=0),"",IF(ISNUMBER(G155),H155,F155)))</f>
        <v/>
      </c>
      <c r="D156" s="22" t="str">
        <f aca="false">IF(C156="","",ROUND(C156*$C$8,2))</f>
        <v/>
      </c>
      <c r="E156" s="22" t="str">
        <f aca="false">IF(C156="","",ROUND(C156*$C$9,2))</f>
        <v/>
      </c>
      <c r="F156" s="22" t="str">
        <f aca="false">IF(C156="","",C156+D156)</f>
        <v/>
      </c>
      <c r="G156" s="23" t="str">
        <f aca="false">IF(OR(C156="",NOT(ISNUMBER(H156))),"",ROUND(H156-C156,2))</f>
        <v/>
      </c>
      <c r="H156" s="24"/>
      <c r="I156" s="25" t="str">
        <f aca="false">IF(C156="","",IF(ISNUMBER(G156),IF(G156&lt;-E156,"Actual – Loss (limit breached)",IF(G156&lt;0,"Actual – Loss",IF(G156&gt;0,"Actual – Profit","Actual – No trade"))),"Projection"))</f>
        <v/>
      </c>
      <c r="J156" s="26"/>
      <c r="K156" s="27"/>
    </row>
    <row r="157" customFormat="false" ht="15" hidden="false" customHeight="false" outlineLevel="0" collapsed="false">
      <c r="A157" s="20" t="str">
        <f aca="false">IF(C157="","",ROW()-12)</f>
        <v/>
      </c>
      <c r="B157" s="21" t="str">
        <f aca="false">IF(C157="","",WORKDAY($C$5-1,A157,'NSE Holidays'!$A$5:$A$64))</f>
        <v/>
      </c>
      <c r="C157" s="22" t="str">
        <f aca="false">IF(C156="","",IF(OR(IF(ISNUMBER(G156),H156,F156)&gt;=$C$7,IF(ISNUMBER(G156),H156,F156)&lt;=0),"",IF(ISNUMBER(G156),H156,F156)))</f>
        <v/>
      </c>
      <c r="D157" s="22" t="str">
        <f aca="false">IF(C157="","",ROUND(C157*$C$8,2))</f>
        <v/>
      </c>
      <c r="E157" s="22" t="str">
        <f aca="false">IF(C157="","",ROUND(C157*$C$9,2))</f>
        <v/>
      </c>
      <c r="F157" s="22" t="str">
        <f aca="false">IF(C157="","",C157+D157)</f>
        <v/>
      </c>
      <c r="G157" s="23" t="str">
        <f aca="false">IF(OR(C157="",NOT(ISNUMBER(H157))),"",ROUND(H157-C157,2))</f>
        <v/>
      </c>
      <c r="H157" s="24"/>
      <c r="I157" s="25" t="str">
        <f aca="false">IF(C157="","",IF(ISNUMBER(G157),IF(G157&lt;-E157,"Actual – Loss (limit breached)",IF(G157&lt;0,"Actual – Loss",IF(G157&gt;0,"Actual – Profit","Actual – No trade"))),"Projection"))</f>
        <v/>
      </c>
      <c r="J157" s="26"/>
      <c r="K157" s="27"/>
    </row>
    <row r="158" customFormat="false" ht="15" hidden="false" customHeight="false" outlineLevel="0" collapsed="false">
      <c r="A158" s="20" t="str">
        <f aca="false">IF(C158="","",ROW()-12)</f>
        <v/>
      </c>
      <c r="B158" s="21" t="str">
        <f aca="false">IF(C158="","",WORKDAY($C$5-1,A158,'NSE Holidays'!$A$5:$A$64))</f>
        <v/>
      </c>
      <c r="C158" s="22" t="str">
        <f aca="false">IF(C157="","",IF(OR(IF(ISNUMBER(G157),H157,F157)&gt;=$C$7,IF(ISNUMBER(G157),H157,F157)&lt;=0),"",IF(ISNUMBER(G157),H157,F157)))</f>
        <v/>
      </c>
      <c r="D158" s="22" t="str">
        <f aca="false">IF(C158="","",ROUND(C158*$C$8,2))</f>
        <v/>
      </c>
      <c r="E158" s="22" t="str">
        <f aca="false">IF(C158="","",ROUND(C158*$C$9,2))</f>
        <v/>
      </c>
      <c r="F158" s="22" t="str">
        <f aca="false">IF(C158="","",C158+D158)</f>
        <v/>
      </c>
      <c r="G158" s="23" t="str">
        <f aca="false">IF(OR(C158="",NOT(ISNUMBER(H158))),"",ROUND(H158-C158,2))</f>
        <v/>
      </c>
      <c r="H158" s="24"/>
      <c r="I158" s="25" t="str">
        <f aca="false">IF(C158="","",IF(ISNUMBER(G158),IF(G158&lt;-E158,"Actual – Loss (limit breached)",IF(G158&lt;0,"Actual – Loss",IF(G158&gt;0,"Actual – Profit","Actual – No trade"))),"Projection"))</f>
        <v/>
      </c>
      <c r="J158" s="26"/>
      <c r="K158" s="27"/>
    </row>
    <row r="159" customFormat="false" ht="15" hidden="false" customHeight="false" outlineLevel="0" collapsed="false">
      <c r="A159" s="20" t="str">
        <f aca="false">IF(C159="","",ROW()-12)</f>
        <v/>
      </c>
      <c r="B159" s="21" t="str">
        <f aca="false">IF(C159="","",WORKDAY($C$5-1,A159,'NSE Holidays'!$A$5:$A$64))</f>
        <v/>
      </c>
      <c r="C159" s="22" t="str">
        <f aca="false">IF(C158="","",IF(OR(IF(ISNUMBER(G158),H158,F158)&gt;=$C$7,IF(ISNUMBER(G158),H158,F158)&lt;=0),"",IF(ISNUMBER(G158),H158,F158)))</f>
        <v/>
      </c>
      <c r="D159" s="22" t="str">
        <f aca="false">IF(C159="","",ROUND(C159*$C$8,2))</f>
        <v/>
      </c>
      <c r="E159" s="22" t="str">
        <f aca="false">IF(C159="","",ROUND(C159*$C$9,2))</f>
        <v/>
      </c>
      <c r="F159" s="22" t="str">
        <f aca="false">IF(C159="","",C159+D159)</f>
        <v/>
      </c>
      <c r="G159" s="23" t="str">
        <f aca="false">IF(OR(C159="",NOT(ISNUMBER(H159))),"",ROUND(H159-C159,2))</f>
        <v/>
      </c>
      <c r="H159" s="24"/>
      <c r="I159" s="25" t="str">
        <f aca="false">IF(C159="","",IF(ISNUMBER(G159),IF(G159&lt;-E159,"Actual – Loss (limit breached)",IF(G159&lt;0,"Actual – Loss",IF(G159&gt;0,"Actual – Profit","Actual – No trade"))),"Projection"))</f>
        <v/>
      </c>
      <c r="J159" s="26"/>
      <c r="K159" s="27"/>
    </row>
    <row r="160" customFormat="false" ht="15" hidden="false" customHeight="false" outlineLevel="0" collapsed="false">
      <c r="A160" s="20" t="str">
        <f aca="false">IF(C160="","",ROW()-12)</f>
        <v/>
      </c>
      <c r="B160" s="21" t="str">
        <f aca="false">IF(C160="","",WORKDAY($C$5-1,A160,'NSE Holidays'!$A$5:$A$64))</f>
        <v/>
      </c>
      <c r="C160" s="22" t="str">
        <f aca="false">IF(C159="","",IF(OR(IF(ISNUMBER(G159),H159,F159)&gt;=$C$7,IF(ISNUMBER(G159),H159,F159)&lt;=0),"",IF(ISNUMBER(G159),H159,F159)))</f>
        <v/>
      </c>
      <c r="D160" s="22" t="str">
        <f aca="false">IF(C160="","",ROUND(C160*$C$8,2))</f>
        <v/>
      </c>
      <c r="E160" s="22" t="str">
        <f aca="false">IF(C160="","",ROUND(C160*$C$9,2))</f>
        <v/>
      </c>
      <c r="F160" s="22" t="str">
        <f aca="false">IF(C160="","",C160+D160)</f>
        <v/>
      </c>
      <c r="G160" s="23" t="str">
        <f aca="false">IF(OR(C160="",NOT(ISNUMBER(H160))),"",ROUND(H160-C160,2))</f>
        <v/>
      </c>
      <c r="H160" s="24"/>
      <c r="I160" s="25" t="str">
        <f aca="false">IF(C160="","",IF(ISNUMBER(G160),IF(G160&lt;-E160,"Actual – Loss (limit breached)",IF(G160&lt;0,"Actual – Loss",IF(G160&gt;0,"Actual – Profit","Actual – No trade"))),"Projection"))</f>
        <v/>
      </c>
      <c r="J160" s="26"/>
      <c r="K160" s="27"/>
    </row>
    <row r="161" customFormat="false" ht="15" hidden="false" customHeight="false" outlineLevel="0" collapsed="false">
      <c r="A161" s="20" t="str">
        <f aca="false">IF(C161="","",ROW()-12)</f>
        <v/>
      </c>
      <c r="B161" s="21" t="str">
        <f aca="false">IF(C161="","",WORKDAY($C$5-1,A161,'NSE Holidays'!$A$5:$A$64))</f>
        <v/>
      </c>
      <c r="C161" s="22" t="str">
        <f aca="false">IF(C160="","",IF(OR(IF(ISNUMBER(G160),H160,F160)&gt;=$C$7,IF(ISNUMBER(G160),H160,F160)&lt;=0),"",IF(ISNUMBER(G160),H160,F160)))</f>
        <v/>
      </c>
      <c r="D161" s="22" t="str">
        <f aca="false">IF(C161="","",ROUND(C161*$C$8,2))</f>
        <v/>
      </c>
      <c r="E161" s="22" t="str">
        <f aca="false">IF(C161="","",ROUND(C161*$C$9,2))</f>
        <v/>
      </c>
      <c r="F161" s="22" t="str">
        <f aca="false">IF(C161="","",C161+D161)</f>
        <v/>
      </c>
      <c r="G161" s="23" t="str">
        <f aca="false">IF(OR(C161="",NOT(ISNUMBER(H161))),"",ROUND(H161-C161,2))</f>
        <v/>
      </c>
      <c r="H161" s="24"/>
      <c r="I161" s="25" t="str">
        <f aca="false">IF(C161="","",IF(ISNUMBER(G161),IF(G161&lt;-E161,"Actual – Loss (limit breached)",IF(G161&lt;0,"Actual – Loss",IF(G161&gt;0,"Actual – Profit","Actual – No trade"))),"Projection"))</f>
        <v/>
      </c>
      <c r="J161" s="26"/>
      <c r="K161" s="27"/>
    </row>
    <row r="162" customFormat="false" ht="15" hidden="false" customHeight="false" outlineLevel="0" collapsed="false">
      <c r="A162" s="20" t="str">
        <f aca="false">IF(C162="","",ROW()-12)</f>
        <v/>
      </c>
      <c r="B162" s="21" t="str">
        <f aca="false">IF(C162="","",WORKDAY($C$5-1,A162,'NSE Holidays'!$A$5:$A$64))</f>
        <v/>
      </c>
      <c r="C162" s="22" t="str">
        <f aca="false">IF(C161="","",IF(OR(IF(ISNUMBER(G161),H161,F161)&gt;=$C$7,IF(ISNUMBER(G161),H161,F161)&lt;=0),"",IF(ISNUMBER(G161),H161,F161)))</f>
        <v/>
      </c>
      <c r="D162" s="22" t="str">
        <f aca="false">IF(C162="","",ROUND(C162*$C$8,2))</f>
        <v/>
      </c>
      <c r="E162" s="22" t="str">
        <f aca="false">IF(C162="","",ROUND(C162*$C$9,2))</f>
        <v/>
      </c>
      <c r="F162" s="22" t="str">
        <f aca="false">IF(C162="","",C162+D162)</f>
        <v/>
      </c>
      <c r="G162" s="23" t="str">
        <f aca="false">IF(OR(C162="",NOT(ISNUMBER(H162))),"",ROUND(H162-C162,2))</f>
        <v/>
      </c>
      <c r="H162" s="24"/>
      <c r="I162" s="25" t="str">
        <f aca="false">IF(C162="","",IF(ISNUMBER(G162),IF(G162&lt;-E162,"Actual – Loss (limit breached)",IF(G162&lt;0,"Actual – Loss",IF(G162&gt;0,"Actual – Profit","Actual – No trade"))),"Projection"))</f>
        <v/>
      </c>
      <c r="J162" s="26"/>
      <c r="K162" s="27"/>
    </row>
    <row r="163" customFormat="false" ht="15" hidden="false" customHeight="false" outlineLevel="0" collapsed="false">
      <c r="A163" s="20" t="str">
        <f aca="false">IF(C163="","",ROW()-12)</f>
        <v/>
      </c>
      <c r="B163" s="21" t="str">
        <f aca="false">IF(C163="","",WORKDAY($C$5-1,A163,'NSE Holidays'!$A$5:$A$64))</f>
        <v/>
      </c>
      <c r="C163" s="22" t="str">
        <f aca="false">IF(C162="","",IF(OR(IF(ISNUMBER(G162),H162,F162)&gt;=$C$7,IF(ISNUMBER(G162),H162,F162)&lt;=0),"",IF(ISNUMBER(G162),H162,F162)))</f>
        <v/>
      </c>
      <c r="D163" s="22" t="str">
        <f aca="false">IF(C163="","",ROUND(C163*$C$8,2))</f>
        <v/>
      </c>
      <c r="E163" s="22" t="str">
        <f aca="false">IF(C163="","",ROUND(C163*$C$9,2))</f>
        <v/>
      </c>
      <c r="F163" s="22" t="str">
        <f aca="false">IF(C163="","",C163+D163)</f>
        <v/>
      </c>
      <c r="G163" s="23" t="str">
        <f aca="false">IF(OR(C163="",NOT(ISNUMBER(H163))),"",ROUND(H163-C163,2))</f>
        <v/>
      </c>
      <c r="H163" s="24"/>
      <c r="I163" s="25" t="str">
        <f aca="false">IF(C163="","",IF(ISNUMBER(G163),IF(G163&lt;-E163,"Actual – Loss (limit breached)",IF(G163&lt;0,"Actual – Loss",IF(G163&gt;0,"Actual – Profit","Actual – No trade"))),"Projection"))</f>
        <v/>
      </c>
      <c r="J163" s="26"/>
      <c r="K163" s="27"/>
    </row>
    <row r="164" customFormat="false" ht="15" hidden="false" customHeight="false" outlineLevel="0" collapsed="false">
      <c r="A164" s="20" t="str">
        <f aca="false">IF(C164="","",ROW()-12)</f>
        <v/>
      </c>
      <c r="B164" s="21" t="str">
        <f aca="false">IF(C164="","",WORKDAY($C$5-1,A164,'NSE Holidays'!$A$5:$A$64))</f>
        <v/>
      </c>
      <c r="C164" s="22" t="str">
        <f aca="false">IF(C163="","",IF(OR(IF(ISNUMBER(G163),H163,F163)&gt;=$C$7,IF(ISNUMBER(G163),H163,F163)&lt;=0),"",IF(ISNUMBER(G163),H163,F163)))</f>
        <v/>
      </c>
      <c r="D164" s="22" t="str">
        <f aca="false">IF(C164="","",ROUND(C164*$C$8,2))</f>
        <v/>
      </c>
      <c r="E164" s="22" t="str">
        <f aca="false">IF(C164="","",ROUND(C164*$C$9,2))</f>
        <v/>
      </c>
      <c r="F164" s="22" t="str">
        <f aca="false">IF(C164="","",C164+D164)</f>
        <v/>
      </c>
      <c r="G164" s="23" t="str">
        <f aca="false">IF(OR(C164="",NOT(ISNUMBER(H164))),"",ROUND(H164-C164,2))</f>
        <v/>
      </c>
      <c r="H164" s="24"/>
      <c r="I164" s="25" t="str">
        <f aca="false">IF(C164="","",IF(ISNUMBER(G164),IF(G164&lt;-E164,"Actual – Loss (limit breached)",IF(G164&lt;0,"Actual – Loss",IF(G164&gt;0,"Actual – Profit","Actual – No trade"))),"Projection"))</f>
        <v/>
      </c>
      <c r="J164" s="26"/>
      <c r="K164" s="27"/>
    </row>
    <row r="165" customFormat="false" ht="15" hidden="false" customHeight="false" outlineLevel="0" collapsed="false">
      <c r="A165" s="20" t="str">
        <f aca="false">IF(C165="","",ROW()-12)</f>
        <v/>
      </c>
      <c r="B165" s="21" t="str">
        <f aca="false">IF(C165="","",WORKDAY($C$5-1,A165,'NSE Holidays'!$A$5:$A$64))</f>
        <v/>
      </c>
      <c r="C165" s="22" t="str">
        <f aca="false">IF(C164="","",IF(OR(IF(ISNUMBER(G164),H164,F164)&gt;=$C$7,IF(ISNUMBER(G164),H164,F164)&lt;=0),"",IF(ISNUMBER(G164),H164,F164)))</f>
        <v/>
      </c>
      <c r="D165" s="22" t="str">
        <f aca="false">IF(C165="","",ROUND(C165*$C$8,2))</f>
        <v/>
      </c>
      <c r="E165" s="22" t="str">
        <f aca="false">IF(C165="","",ROUND(C165*$C$9,2))</f>
        <v/>
      </c>
      <c r="F165" s="22" t="str">
        <f aca="false">IF(C165="","",C165+D165)</f>
        <v/>
      </c>
      <c r="G165" s="23" t="str">
        <f aca="false">IF(OR(C165="",NOT(ISNUMBER(H165))),"",ROUND(H165-C165,2))</f>
        <v/>
      </c>
      <c r="H165" s="24"/>
      <c r="I165" s="25" t="str">
        <f aca="false">IF(C165="","",IF(ISNUMBER(G165),IF(G165&lt;-E165,"Actual – Loss (limit breached)",IF(G165&lt;0,"Actual – Loss",IF(G165&gt;0,"Actual – Profit","Actual – No trade"))),"Projection"))</f>
        <v/>
      </c>
      <c r="J165" s="26"/>
      <c r="K165" s="27"/>
    </row>
    <row r="166" customFormat="false" ht="15" hidden="false" customHeight="false" outlineLevel="0" collapsed="false">
      <c r="A166" s="20" t="str">
        <f aca="false">IF(C166="","",ROW()-12)</f>
        <v/>
      </c>
      <c r="B166" s="21" t="str">
        <f aca="false">IF(C166="","",WORKDAY($C$5-1,A166,'NSE Holidays'!$A$5:$A$64))</f>
        <v/>
      </c>
      <c r="C166" s="22" t="str">
        <f aca="false">IF(C165="","",IF(OR(IF(ISNUMBER(G165),H165,F165)&gt;=$C$7,IF(ISNUMBER(G165),H165,F165)&lt;=0),"",IF(ISNUMBER(G165),H165,F165)))</f>
        <v/>
      </c>
      <c r="D166" s="22" t="str">
        <f aca="false">IF(C166="","",ROUND(C166*$C$8,2))</f>
        <v/>
      </c>
      <c r="E166" s="22" t="str">
        <f aca="false">IF(C166="","",ROUND(C166*$C$9,2))</f>
        <v/>
      </c>
      <c r="F166" s="22" t="str">
        <f aca="false">IF(C166="","",C166+D166)</f>
        <v/>
      </c>
      <c r="G166" s="23" t="str">
        <f aca="false">IF(OR(C166="",NOT(ISNUMBER(H166))),"",ROUND(H166-C166,2))</f>
        <v/>
      </c>
      <c r="H166" s="24"/>
      <c r="I166" s="25" t="str">
        <f aca="false">IF(C166="","",IF(ISNUMBER(G166),IF(G166&lt;-E166,"Actual – Loss (limit breached)",IF(G166&lt;0,"Actual – Loss",IF(G166&gt;0,"Actual – Profit","Actual – No trade"))),"Projection"))</f>
        <v/>
      </c>
      <c r="J166" s="26"/>
      <c r="K166" s="27"/>
    </row>
    <row r="167" customFormat="false" ht="15" hidden="false" customHeight="false" outlineLevel="0" collapsed="false">
      <c r="A167" s="20" t="str">
        <f aca="false">IF(C167="","",ROW()-12)</f>
        <v/>
      </c>
      <c r="B167" s="21" t="str">
        <f aca="false">IF(C167="","",WORKDAY($C$5-1,A167,'NSE Holidays'!$A$5:$A$64))</f>
        <v/>
      </c>
      <c r="C167" s="22" t="str">
        <f aca="false">IF(C166="","",IF(OR(IF(ISNUMBER(G166),H166,F166)&gt;=$C$7,IF(ISNUMBER(G166),H166,F166)&lt;=0),"",IF(ISNUMBER(G166),H166,F166)))</f>
        <v/>
      </c>
      <c r="D167" s="22" t="str">
        <f aca="false">IF(C167="","",ROUND(C167*$C$8,2))</f>
        <v/>
      </c>
      <c r="E167" s="22" t="str">
        <f aca="false">IF(C167="","",ROUND(C167*$C$9,2))</f>
        <v/>
      </c>
      <c r="F167" s="22" t="str">
        <f aca="false">IF(C167="","",C167+D167)</f>
        <v/>
      </c>
      <c r="G167" s="23" t="str">
        <f aca="false">IF(OR(C167="",NOT(ISNUMBER(H167))),"",ROUND(H167-C167,2))</f>
        <v/>
      </c>
      <c r="H167" s="24"/>
      <c r="I167" s="25" t="str">
        <f aca="false">IF(C167="","",IF(ISNUMBER(G167),IF(G167&lt;-E167,"Actual – Loss (limit breached)",IF(G167&lt;0,"Actual – Loss",IF(G167&gt;0,"Actual – Profit","Actual – No trade"))),"Projection"))</f>
        <v/>
      </c>
      <c r="J167" s="26"/>
      <c r="K167" s="27"/>
    </row>
    <row r="168" customFormat="false" ht="15" hidden="false" customHeight="false" outlineLevel="0" collapsed="false">
      <c r="A168" s="20" t="str">
        <f aca="false">IF(C168="","",ROW()-12)</f>
        <v/>
      </c>
      <c r="B168" s="21" t="str">
        <f aca="false">IF(C168="","",WORKDAY($C$5-1,A168,'NSE Holidays'!$A$5:$A$64))</f>
        <v/>
      </c>
      <c r="C168" s="22" t="str">
        <f aca="false">IF(C167="","",IF(OR(IF(ISNUMBER(G167),H167,F167)&gt;=$C$7,IF(ISNUMBER(G167),H167,F167)&lt;=0),"",IF(ISNUMBER(G167),H167,F167)))</f>
        <v/>
      </c>
      <c r="D168" s="22" t="str">
        <f aca="false">IF(C168="","",ROUND(C168*$C$8,2))</f>
        <v/>
      </c>
      <c r="E168" s="22" t="str">
        <f aca="false">IF(C168="","",ROUND(C168*$C$9,2))</f>
        <v/>
      </c>
      <c r="F168" s="22" t="str">
        <f aca="false">IF(C168="","",C168+D168)</f>
        <v/>
      </c>
      <c r="G168" s="23" t="str">
        <f aca="false">IF(OR(C168="",NOT(ISNUMBER(H168))),"",ROUND(H168-C168,2))</f>
        <v/>
      </c>
      <c r="H168" s="24"/>
      <c r="I168" s="25" t="str">
        <f aca="false">IF(C168="","",IF(ISNUMBER(G168),IF(G168&lt;-E168,"Actual – Loss (limit breached)",IF(G168&lt;0,"Actual – Loss",IF(G168&gt;0,"Actual – Profit","Actual – No trade"))),"Projection"))</f>
        <v/>
      </c>
      <c r="J168" s="26"/>
      <c r="K168" s="27"/>
    </row>
    <row r="169" customFormat="false" ht="15" hidden="false" customHeight="false" outlineLevel="0" collapsed="false">
      <c r="A169" s="20" t="str">
        <f aca="false">IF(C169="","",ROW()-12)</f>
        <v/>
      </c>
      <c r="B169" s="21" t="str">
        <f aca="false">IF(C169="","",WORKDAY($C$5-1,A169,'NSE Holidays'!$A$5:$A$64))</f>
        <v/>
      </c>
      <c r="C169" s="22" t="str">
        <f aca="false">IF(C168="","",IF(OR(IF(ISNUMBER(G168),H168,F168)&gt;=$C$7,IF(ISNUMBER(G168),H168,F168)&lt;=0),"",IF(ISNUMBER(G168),H168,F168)))</f>
        <v/>
      </c>
      <c r="D169" s="22" t="str">
        <f aca="false">IF(C169="","",ROUND(C169*$C$8,2))</f>
        <v/>
      </c>
      <c r="E169" s="22" t="str">
        <f aca="false">IF(C169="","",ROUND(C169*$C$9,2))</f>
        <v/>
      </c>
      <c r="F169" s="22" t="str">
        <f aca="false">IF(C169="","",C169+D169)</f>
        <v/>
      </c>
      <c r="G169" s="23" t="str">
        <f aca="false">IF(OR(C169="",NOT(ISNUMBER(H169))),"",ROUND(H169-C169,2))</f>
        <v/>
      </c>
      <c r="H169" s="24"/>
      <c r="I169" s="25" t="str">
        <f aca="false">IF(C169="","",IF(ISNUMBER(G169),IF(G169&lt;-E169,"Actual – Loss (limit breached)",IF(G169&lt;0,"Actual – Loss",IF(G169&gt;0,"Actual – Profit","Actual – No trade"))),"Projection"))</f>
        <v/>
      </c>
      <c r="J169" s="26"/>
      <c r="K169" s="27"/>
    </row>
    <row r="170" customFormat="false" ht="15" hidden="false" customHeight="false" outlineLevel="0" collapsed="false">
      <c r="A170" s="20" t="str">
        <f aca="false">IF(C170="","",ROW()-12)</f>
        <v/>
      </c>
      <c r="B170" s="21" t="str">
        <f aca="false">IF(C170="","",WORKDAY($C$5-1,A170,'NSE Holidays'!$A$5:$A$64))</f>
        <v/>
      </c>
      <c r="C170" s="22" t="str">
        <f aca="false">IF(C169="","",IF(OR(IF(ISNUMBER(G169),H169,F169)&gt;=$C$7,IF(ISNUMBER(G169),H169,F169)&lt;=0),"",IF(ISNUMBER(G169),H169,F169)))</f>
        <v/>
      </c>
      <c r="D170" s="22" t="str">
        <f aca="false">IF(C170="","",ROUND(C170*$C$8,2))</f>
        <v/>
      </c>
      <c r="E170" s="22" t="str">
        <f aca="false">IF(C170="","",ROUND(C170*$C$9,2))</f>
        <v/>
      </c>
      <c r="F170" s="22" t="str">
        <f aca="false">IF(C170="","",C170+D170)</f>
        <v/>
      </c>
      <c r="G170" s="23" t="str">
        <f aca="false">IF(OR(C170="",NOT(ISNUMBER(H170))),"",ROUND(H170-C170,2))</f>
        <v/>
      </c>
      <c r="H170" s="24"/>
      <c r="I170" s="25" t="str">
        <f aca="false">IF(C170="","",IF(ISNUMBER(G170),IF(G170&lt;-E170,"Actual – Loss (limit breached)",IF(G170&lt;0,"Actual – Loss",IF(G170&gt;0,"Actual – Profit","Actual – No trade"))),"Projection"))</f>
        <v/>
      </c>
      <c r="J170" s="26"/>
      <c r="K170" s="27"/>
    </row>
    <row r="171" customFormat="false" ht="15" hidden="false" customHeight="false" outlineLevel="0" collapsed="false">
      <c r="A171" s="20" t="str">
        <f aca="false">IF(C171="","",ROW()-12)</f>
        <v/>
      </c>
      <c r="B171" s="21" t="str">
        <f aca="false">IF(C171="","",WORKDAY($C$5-1,A171,'NSE Holidays'!$A$5:$A$64))</f>
        <v/>
      </c>
      <c r="C171" s="22" t="str">
        <f aca="false">IF(C170="","",IF(OR(IF(ISNUMBER(G170),H170,F170)&gt;=$C$7,IF(ISNUMBER(G170),H170,F170)&lt;=0),"",IF(ISNUMBER(G170),H170,F170)))</f>
        <v/>
      </c>
      <c r="D171" s="22" t="str">
        <f aca="false">IF(C171="","",ROUND(C171*$C$8,2))</f>
        <v/>
      </c>
      <c r="E171" s="22" t="str">
        <f aca="false">IF(C171="","",ROUND(C171*$C$9,2))</f>
        <v/>
      </c>
      <c r="F171" s="22" t="str">
        <f aca="false">IF(C171="","",C171+D171)</f>
        <v/>
      </c>
      <c r="G171" s="23" t="str">
        <f aca="false">IF(OR(C171="",NOT(ISNUMBER(H171))),"",ROUND(H171-C171,2))</f>
        <v/>
      </c>
      <c r="H171" s="24"/>
      <c r="I171" s="25" t="str">
        <f aca="false">IF(C171="","",IF(ISNUMBER(G171),IF(G171&lt;-E171,"Actual – Loss (limit breached)",IF(G171&lt;0,"Actual – Loss",IF(G171&gt;0,"Actual – Profit","Actual – No trade"))),"Projection"))</f>
        <v/>
      </c>
      <c r="J171" s="26"/>
      <c r="K171" s="27"/>
    </row>
    <row r="172" customFormat="false" ht="15" hidden="false" customHeight="false" outlineLevel="0" collapsed="false">
      <c r="A172" s="20" t="str">
        <f aca="false">IF(C172="","",ROW()-12)</f>
        <v/>
      </c>
      <c r="B172" s="21" t="str">
        <f aca="false">IF(C172="","",WORKDAY($C$5-1,A172,'NSE Holidays'!$A$5:$A$64))</f>
        <v/>
      </c>
      <c r="C172" s="22" t="str">
        <f aca="false">IF(C171="","",IF(OR(IF(ISNUMBER(G171),H171,F171)&gt;=$C$7,IF(ISNUMBER(G171),H171,F171)&lt;=0),"",IF(ISNUMBER(G171),H171,F171)))</f>
        <v/>
      </c>
      <c r="D172" s="22" t="str">
        <f aca="false">IF(C172="","",ROUND(C172*$C$8,2))</f>
        <v/>
      </c>
      <c r="E172" s="22" t="str">
        <f aca="false">IF(C172="","",ROUND(C172*$C$9,2))</f>
        <v/>
      </c>
      <c r="F172" s="22" t="str">
        <f aca="false">IF(C172="","",C172+D172)</f>
        <v/>
      </c>
      <c r="G172" s="23" t="str">
        <f aca="false">IF(OR(C172="",NOT(ISNUMBER(H172))),"",ROUND(H172-C172,2))</f>
        <v/>
      </c>
      <c r="H172" s="24"/>
      <c r="I172" s="25" t="str">
        <f aca="false">IF(C172="","",IF(ISNUMBER(G172),IF(G172&lt;-E172,"Actual – Loss (limit breached)",IF(G172&lt;0,"Actual – Loss",IF(G172&gt;0,"Actual – Profit","Actual – No trade"))),"Projection"))</f>
        <v/>
      </c>
      <c r="J172" s="26"/>
      <c r="K172" s="27"/>
    </row>
    <row r="173" customFormat="false" ht="15" hidden="false" customHeight="false" outlineLevel="0" collapsed="false">
      <c r="A173" s="20" t="str">
        <f aca="false">IF(C173="","",ROW()-12)</f>
        <v/>
      </c>
      <c r="B173" s="21" t="str">
        <f aca="false">IF(C173="","",WORKDAY($C$5-1,A173,'NSE Holidays'!$A$5:$A$64))</f>
        <v/>
      </c>
      <c r="C173" s="22" t="str">
        <f aca="false">IF(C172="","",IF(OR(IF(ISNUMBER(G172),H172,F172)&gt;=$C$7,IF(ISNUMBER(G172),H172,F172)&lt;=0),"",IF(ISNUMBER(G172),H172,F172)))</f>
        <v/>
      </c>
      <c r="D173" s="22" t="str">
        <f aca="false">IF(C173="","",ROUND(C173*$C$8,2))</f>
        <v/>
      </c>
      <c r="E173" s="22" t="str">
        <f aca="false">IF(C173="","",ROUND(C173*$C$9,2))</f>
        <v/>
      </c>
      <c r="F173" s="22" t="str">
        <f aca="false">IF(C173="","",C173+D173)</f>
        <v/>
      </c>
      <c r="G173" s="23" t="str">
        <f aca="false">IF(OR(C173="",NOT(ISNUMBER(H173))),"",ROUND(H173-C173,2))</f>
        <v/>
      </c>
      <c r="H173" s="24"/>
      <c r="I173" s="25" t="str">
        <f aca="false">IF(C173="","",IF(ISNUMBER(G173),IF(G173&lt;-E173,"Actual – Loss (limit breached)",IF(G173&lt;0,"Actual – Loss",IF(G173&gt;0,"Actual – Profit","Actual – No trade"))),"Projection"))</f>
        <v/>
      </c>
      <c r="J173" s="26"/>
      <c r="K173" s="27"/>
    </row>
    <row r="174" customFormat="false" ht="15" hidden="false" customHeight="false" outlineLevel="0" collapsed="false">
      <c r="A174" s="20" t="str">
        <f aca="false">IF(C174="","",ROW()-12)</f>
        <v/>
      </c>
      <c r="B174" s="21" t="str">
        <f aca="false">IF(C174="","",WORKDAY($C$5-1,A174,'NSE Holidays'!$A$5:$A$64))</f>
        <v/>
      </c>
      <c r="C174" s="22" t="str">
        <f aca="false">IF(C173="","",IF(OR(IF(ISNUMBER(G173),H173,F173)&gt;=$C$7,IF(ISNUMBER(G173),H173,F173)&lt;=0),"",IF(ISNUMBER(G173),H173,F173)))</f>
        <v/>
      </c>
      <c r="D174" s="22" t="str">
        <f aca="false">IF(C174="","",ROUND(C174*$C$8,2))</f>
        <v/>
      </c>
      <c r="E174" s="22" t="str">
        <f aca="false">IF(C174="","",ROUND(C174*$C$9,2))</f>
        <v/>
      </c>
      <c r="F174" s="22" t="str">
        <f aca="false">IF(C174="","",C174+D174)</f>
        <v/>
      </c>
      <c r="G174" s="23" t="str">
        <f aca="false">IF(OR(C174="",NOT(ISNUMBER(H174))),"",ROUND(H174-C174,2))</f>
        <v/>
      </c>
      <c r="H174" s="24"/>
      <c r="I174" s="25" t="str">
        <f aca="false">IF(C174="","",IF(ISNUMBER(G174),IF(G174&lt;-E174,"Actual – Loss (limit breached)",IF(G174&lt;0,"Actual – Loss",IF(G174&gt;0,"Actual – Profit","Actual – No trade"))),"Projection"))</f>
        <v/>
      </c>
      <c r="J174" s="26"/>
      <c r="K174" s="27"/>
    </row>
    <row r="175" customFormat="false" ht="15" hidden="false" customHeight="false" outlineLevel="0" collapsed="false">
      <c r="A175" s="20" t="str">
        <f aca="false">IF(C175="","",ROW()-12)</f>
        <v/>
      </c>
      <c r="B175" s="21" t="str">
        <f aca="false">IF(C175="","",WORKDAY($C$5-1,A175,'NSE Holidays'!$A$5:$A$64))</f>
        <v/>
      </c>
      <c r="C175" s="22" t="str">
        <f aca="false">IF(C174="","",IF(OR(IF(ISNUMBER(G174),H174,F174)&gt;=$C$7,IF(ISNUMBER(G174),H174,F174)&lt;=0),"",IF(ISNUMBER(G174),H174,F174)))</f>
        <v/>
      </c>
      <c r="D175" s="22" t="str">
        <f aca="false">IF(C175="","",ROUND(C175*$C$8,2))</f>
        <v/>
      </c>
      <c r="E175" s="22" t="str">
        <f aca="false">IF(C175="","",ROUND(C175*$C$9,2))</f>
        <v/>
      </c>
      <c r="F175" s="22" t="str">
        <f aca="false">IF(C175="","",C175+D175)</f>
        <v/>
      </c>
      <c r="G175" s="23" t="str">
        <f aca="false">IF(OR(C175="",NOT(ISNUMBER(H175))),"",ROUND(H175-C175,2))</f>
        <v/>
      </c>
      <c r="H175" s="24"/>
      <c r="I175" s="25" t="str">
        <f aca="false">IF(C175="","",IF(ISNUMBER(G175),IF(G175&lt;-E175,"Actual – Loss (limit breached)",IF(G175&lt;0,"Actual – Loss",IF(G175&gt;0,"Actual – Profit","Actual – No trade"))),"Projection"))</f>
        <v/>
      </c>
      <c r="J175" s="26"/>
      <c r="K175" s="27"/>
    </row>
    <row r="176" customFormat="false" ht="15" hidden="false" customHeight="false" outlineLevel="0" collapsed="false">
      <c r="A176" s="20" t="str">
        <f aca="false">IF(C176="","",ROW()-12)</f>
        <v/>
      </c>
      <c r="B176" s="21" t="str">
        <f aca="false">IF(C176="","",WORKDAY($C$5-1,A176,'NSE Holidays'!$A$5:$A$64))</f>
        <v/>
      </c>
      <c r="C176" s="22" t="str">
        <f aca="false">IF(C175="","",IF(OR(IF(ISNUMBER(G175),H175,F175)&gt;=$C$7,IF(ISNUMBER(G175),H175,F175)&lt;=0),"",IF(ISNUMBER(G175),H175,F175)))</f>
        <v/>
      </c>
      <c r="D176" s="22" t="str">
        <f aca="false">IF(C176="","",ROUND(C176*$C$8,2))</f>
        <v/>
      </c>
      <c r="E176" s="22" t="str">
        <f aca="false">IF(C176="","",ROUND(C176*$C$9,2))</f>
        <v/>
      </c>
      <c r="F176" s="22" t="str">
        <f aca="false">IF(C176="","",C176+D176)</f>
        <v/>
      </c>
      <c r="G176" s="23" t="str">
        <f aca="false">IF(OR(C176="",NOT(ISNUMBER(H176))),"",ROUND(H176-C176,2))</f>
        <v/>
      </c>
      <c r="H176" s="24"/>
      <c r="I176" s="25" t="str">
        <f aca="false">IF(C176="","",IF(ISNUMBER(G176),IF(G176&lt;-E176,"Actual – Loss (limit breached)",IF(G176&lt;0,"Actual – Loss",IF(G176&gt;0,"Actual – Profit","Actual – No trade"))),"Projection"))</f>
        <v/>
      </c>
      <c r="J176" s="26"/>
      <c r="K176" s="27"/>
    </row>
    <row r="177" customFormat="false" ht="15" hidden="false" customHeight="false" outlineLevel="0" collapsed="false">
      <c r="A177" s="20" t="str">
        <f aca="false">IF(C177="","",ROW()-12)</f>
        <v/>
      </c>
      <c r="B177" s="21" t="str">
        <f aca="false">IF(C177="","",WORKDAY($C$5-1,A177,'NSE Holidays'!$A$5:$A$64))</f>
        <v/>
      </c>
      <c r="C177" s="22" t="str">
        <f aca="false">IF(C176="","",IF(OR(IF(ISNUMBER(G176),H176,F176)&gt;=$C$7,IF(ISNUMBER(G176),H176,F176)&lt;=0),"",IF(ISNUMBER(G176),H176,F176)))</f>
        <v/>
      </c>
      <c r="D177" s="22" t="str">
        <f aca="false">IF(C177="","",ROUND(C177*$C$8,2))</f>
        <v/>
      </c>
      <c r="E177" s="22" t="str">
        <f aca="false">IF(C177="","",ROUND(C177*$C$9,2))</f>
        <v/>
      </c>
      <c r="F177" s="22" t="str">
        <f aca="false">IF(C177="","",C177+D177)</f>
        <v/>
      </c>
      <c r="G177" s="23" t="str">
        <f aca="false">IF(OR(C177="",NOT(ISNUMBER(H177))),"",ROUND(H177-C177,2))</f>
        <v/>
      </c>
      <c r="H177" s="24"/>
      <c r="I177" s="25" t="str">
        <f aca="false">IF(C177="","",IF(ISNUMBER(G177),IF(G177&lt;-E177,"Actual – Loss (limit breached)",IF(G177&lt;0,"Actual – Loss",IF(G177&gt;0,"Actual – Profit","Actual – No trade"))),"Projection"))</f>
        <v/>
      </c>
      <c r="J177" s="26"/>
      <c r="K177" s="27"/>
    </row>
    <row r="178" customFormat="false" ht="15" hidden="false" customHeight="false" outlineLevel="0" collapsed="false">
      <c r="A178" s="20" t="str">
        <f aca="false">IF(C178="","",ROW()-12)</f>
        <v/>
      </c>
      <c r="B178" s="21" t="str">
        <f aca="false">IF(C178="","",WORKDAY($C$5-1,A178,'NSE Holidays'!$A$5:$A$64))</f>
        <v/>
      </c>
      <c r="C178" s="22" t="str">
        <f aca="false">IF(C177="","",IF(OR(IF(ISNUMBER(G177),H177,F177)&gt;=$C$7,IF(ISNUMBER(G177),H177,F177)&lt;=0),"",IF(ISNUMBER(G177),H177,F177)))</f>
        <v/>
      </c>
      <c r="D178" s="22" t="str">
        <f aca="false">IF(C178="","",ROUND(C178*$C$8,2))</f>
        <v/>
      </c>
      <c r="E178" s="22" t="str">
        <f aca="false">IF(C178="","",ROUND(C178*$C$9,2))</f>
        <v/>
      </c>
      <c r="F178" s="22" t="str">
        <f aca="false">IF(C178="","",C178+D178)</f>
        <v/>
      </c>
      <c r="G178" s="23" t="str">
        <f aca="false">IF(OR(C178="",NOT(ISNUMBER(H178))),"",ROUND(H178-C178,2))</f>
        <v/>
      </c>
      <c r="H178" s="24"/>
      <c r="I178" s="25" t="str">
        <f aca="false">IF(C178="","",IF(ISNUMBER(G178),IF(G178&lt;-E178,"Actual – Loss (limit breached)",IF(G178&lt;0,"Actual – Loss",IF(G178&gt;0,"Actual – Profit","Actual – No trade"))),"Projection"))</f>
        <v/>
      </c>
      <c r="J178" s="26"/>
      <c r="K178" s="27"/>
    </row>
    <row r="179" customFormat="false" ht="15" hidden="false" customHeight="false" outlineLevel="0" collapsed="false">
      <c r="A179" s="20" t="str">
        <f aca="false">IF(C179="","",ROW()-12)</f>
        <v/>
      </c>
      <c r="B179" s="21" t="str">
        <f aca="false">IF(C179="","",WORKDAY($C$5-1,A179,'NSE Holidays'!$A$5:$A$64))</f>
        <v/>
      </c>
      <c r="C179" s="22" t="str">
        <f aca="false">IF(C178="","",IF(OR(IF(ISNUMBER(G178),H178,F178)&gt;=$C$7,IF(ISNUMBER(G178),H178,F178)&lt;=0),"",IF(ISNUMBER(G178),H178,F178)))</f>
        <v/>
      </c>
      <c r="D179" s="22" t="str">
        <f aca="false">IF(C179="","",ROUND(C179*$C$8,2))</f>
        <v/>
      </c>
      <c r="E179" s="22" t="str">
        <f aca="false">IF(C179="","",ROUND(C179*$C$9,2))</f>
        <v/>
      </c>
      <c r="F179" s="22" t="str">
        <f aca="false">IF(C179="","",C179+D179)</f>
        <v/>
      </c>
      <c r="G179" s="23" t="str">
        <f aca="false">IF(OR(C179="",NOT(ISNUMBER(H179))),"",ROUND(H179-C179,2))</f>
        <v/>
      </c>
      <c r="H179" s="24"/>
      <c r="I179" s="25" t="str">
        <f aca="false">IF(C179="","",IF(ISNUMBER(G179),IF(G179&lt;-E179,"Actual – Loss (limit breached)",IF(G179&lt;0,"Actual – Loss",IF(G179&gt;0,"Actual – Profit","Actual – No trade"))),"Projection"))</f>
        <v/>
      </c>
      <c r="J179" s="26"/>
      <c r="K179" s="27"/>
    </row>
    <row r="180" customFormat="false" ht="15" hidden="false" customHeight="false" outlineLevel="0" collapsed="false">
      <c r="A180" s="20" t="str">
        <f aca="false">IF(C180="","",ROW()-12)</f>
        <v/>
      </c>
      <c r="B180" s="21" t="str">
        <f aca="false">IF(C180="","",WORKDAY($C$5-1,A180,'NSE Holidays'!$A$5:$A$64))</f>
        <v/>
      </c>
      <c r="C180" s="22" t="str">
        <f aca="false">IF(C179="","",IF(OR(IF(ISNUMBER(G179),H179,F179)&gt;=$C$7,IF(ISNUMBER(G179),H179,F179)&lt;=0),"",IF(ISNUMBER(G179),H179,F179)))</f>
        <v/>
      </c>
      <c r="D180" s="22" t="str">
        <f aca="false">IF(C180="","",ROUND(C180*$C$8,2))</f>
        <v/>
      </c>
      <c r="E180" s="22" t="str">
        <f aca="false">IF(C180="","",ROUND(C180*$C$9,2))</f>
        <v/>
      </c>
      <c r="F180" s="22" t="str">
        <f aca="false">IF(C180="","",C180+D180)</f>
        <v/>
      </c>
      <c r="G180" s="23" t="str">
        <f aca="false">IF(OR(C180="",NOT(ISNUMBER(H180))),"",ROUND(H180-C180,2))</f>
        <v/>
      </c>
      <c r="H180" s="24"/>
      <c r="I180" s="25" t="str">
        <f aca="false">IF(C180="","",IF(ISNUMBER(G180),IF(G180&lt;-E180,"Actual – Loss (limit breached)",IF(G180&lt;0,"Actual – Loss",IF(G180&gt;0,"Actual – Profit","Actual – No trade"))),"Projection"))</f>
        <v/>
      </c>
      <c r="J180" s="26"/>
      <c r="K180" s="27"/>
    </row>
    <row r="181" customFormat="false" ht="15" hidden="false" customHeight="false" outlineLevel="0" collapsed="false">
      <c r="A181" s="20" t="str">
        <f aca="false">IF(C181="","",ROW()-12)</f>
        <v/>
      </c>
      <c r="B181" s="21" t="str">
        <f aca="false">IF(C181="","",WORKDAY($C$5-1,A181,'NSE Holidays'!$A$5:$A$64))</f>
        <v/>
      </c>
      <c r="C181" s="22" t="str">
        <f aca="false">IF(C180="","",IF(OR(IF(ISNUMBER(G180),H180,F180)&gt;=$C$7,IF(ISNUMBER(G180),H180,F180)&lt;=0),"",IF(ISNUMBER(G180),H180,F180)))</f>
        <v/>
      </c>
      <c r="D181" s="22" t="str">
        <f aca="false">IF(C181="","",ROUND(C181*$C$8,2))</f>
        <v/>
      </c>
      <c r="E181" s="22" t="str">
        <f aca="false">IF(C181="","",ROUND(C181*$C$9,2))</f>
        <v/>
      </c>
      <c r="F181" s="22" t="str">
        <f aca="false">IF(C181="","",C181+D181)</f>
        <v/>
      </c>
      <c r="G181" s="23" t="str">
        <f aca="false">IF(OR(C181="",NOT(ISNUMBER(H181))),"",ROUND(H181-C181,2))</f>
        <v/>
      </c>
      <c r="H181" s="24"/>
      <c r="I181" s="25" t="str">
        <f aca="false">IF(C181="","",IF(ISNUMBER(G181),IF(G181&lt;-E181,"Actual – Loss (limit breached)",IF(G181&lt;0,"Actual – Loss",IF(G181&gt;0,"Actual – Profit","Actual – No trade"))),"Projection"))</f>
        <v/>
      </c>
      <c r="J181" s="26"/>
      <c r="K181" s="27"/>
    </row>
    <row r="182" customFormat="false" ht="15" hidden="false" customHeight="false" outlineLevel="0" collapsed="false">
      <c r="A182" s="20" t="str">
        <f aca="false">IF(C182="","",ROW()-12)</f>
        <v/>
      </c>
      <c r="B182" s="21" t="str">
        <f aca="false">IF(C182="","",WORKDAY($C$5-1,A182,'NSE Holidays'!$A$5:$A$64))</f>
        <v/>
      </c>
      <c r="C182" s="22" t="str">
        <f aca="false">IF(C181="","",IF(OR(IF(ISNUMBER(G181),H181,F181)&gt;=$C$7,IF(ISNUMBER(G181),H181,F181)&lt;=0),"",IF(ISNUMBER(G181),H181,F181)))</f>
        <v/>
      </c>
      <c r="D182" s="22" t="str">
        <f aca="false">IF(C182="","",ROUND(C182*$C$8,2))</f>
        <v/>
      </c>
      <c r="E182" s="22" t="str">
        <f aca="false">IF(C182="","",ROUND(C182*$C$9,2))</f>
        <v/>
      </c>
      <c r="F182" s="22" t="str">
        <f aca="false">IF(C182="","",C182+D182)</f>
        <v/>
      </c>
      <c r="G182" s="23" t="str">
        <f aca="false">IF(OR(C182="",NOT(ISNUMBER(H182))),"",ROUND(H182-C182,2))</f>
        <v/>
      </c>
      <c r="H182" s="24"/>
      <c r="I182" s="25" t="str">
        <f aca="false">IF(C182="","",IF(ISNUMBER(G182),IF(G182&lt;-E182,"Actual – Loss (limit breached)",IF(G182&lt;0,"Actual – Loss",IF(G182&gt;0,"Actual – Profit","Actual – No trade"))),"Projection"))</f>
        <v/>
      </c>
      <c r="J182" s="26"/>
      <c r="K182" s="27"/>
    </row>
    <row r="183" customFormat="false" ht="15" hidden="false" customHeight="false" outlineLevel="0" collapsed="false">
      <c r="A183" s="20" t="str">
        <f aca="false">IF(C183="","",ROW()-12)</f>
        <v/>
      </c>
      <c r="B183" s="21" t="str">
        <f aca="false">IF(C183="","",WORKDAY($C$5-1,A183,'NSE Holidays'!$A$5:$A$64))</f>
        <v/>
      </c>
      <c r="C183" s="22" t="str">
        <f aca="false">IF(C182="","",IF(OR(IF(ISNUMBER(G182),H182,F182)&gt;=$C$7,IF(ISNUMBER(G182),H182,F182)&lt;=0),"",IF(ISNUMBER(G182),H182,F182)))</f>
        <v/>
      </c>
      <c r="D183" s="22" t="str">
        <f aca="false">IF(C183="","",ROUND(C183*$C$8,2))</f>
        <v/>
      </c>
      <c r="E183" s="22" t="str">
        <f aca="false">IF(C183="","",ROUND(C183*$C$9,2))</f>
        <v/>
      </c>
      <c r="F183" s="22" t="str">
        <f aca="false">IF(C183="","",C183+D183)</f>
        <v/>
      </c>
      <c r="G183" s="23" t="str">
        <f aca="false">IF(OR(C183="",NOT(ISNUMBER(H183))),"",ROUND(H183-C183,2))</f>
        <v/>
      </c>
      <c r="H183" s="24"/>
      <c r="I183" s="25" t="str">
        <f aca="false">IF(C183="","",IF(ISNUMBER(G183),IF(G183&lt;-E183,"Actual – Loss (limit breached)",IF(G183&lt;0,"Actual – Loss",IF(G183&gt;0,"Actual – Profit","Actual – No trade"))),"Projection"))</f>
        <v/>
      </c>
      <c r="J183" s="26"/>
      <c r="K183" s="27"/>
    </row>
    <row r="184" customFormat="false" ht="15" hidden="false" customHeight="false" outlineLevel="0" collapsed="false">
      <c r="A184" s="20" t="str">
        <f aca="false">IF(C184="","",ROW()-12)</f>
        <v/>
      </c>
      <c r="B184" s="21" t="str">
        <f aca="false">IF(C184="","",WORKDAY($C$5-1,A184,'NSE Holidays'!$A$5:$A$64))</f>
        <v/>
      </c>
      <c r="C184" s="22" t="str">
        <f aca="false">IF(C183="","",IF(OR(IF(ISNUMBER(G183),H183,F183)&gt;=$C$7,IF(ISNUMBER(G183),H183,F183)&lt;=0),"",IF(ISNUMBER(G183),H183,F183)))</f>
        <v/>
      </c>
      <c r="D184" s="22" t="str">
        <f aca="false">IF(C184="","",ROUND(C184*$C$8,2))</f>
        <v/>
      </c>
      <c r="E184" s="22" t="str">
        <f aca="false">IF(C184="","",ROUND(C184*$C$9,2))</f>
        <v/>
      </c>
      <c r="F184" s="22" t="str">
        <f aca="false">IF(C184="","",C184+D184)</f>
        <v/>
      </c>
      <c r="G184" s="23" t="str">
        <f aca="false">IF(OR(C184="",NOT(ISNUMBER(H184))),"",ROUND(H184-C184,2))</f>
        <v/>
      </c>
      <c r="H184" s="24"/>
      <c r="I184" s="25" t="str">
        <f aca="false">IF(C184="","",IF(ISNUMBER(G184),IF(G184&lt;-E184,"Actual – Loss (limit breached)",IF(G184&lt;0,"Actual – Loss",IF(G184&gt;0,"Actual – Profit","Actual – No trade"))),"Projection"))</f>
        <v/>
      </c>
      <c r="J184" s="26"/>
      <c r="K184" s="27"/>
    </row>
    <row r="185" customFormat="false" ht="15" hidden="false" customHeight="false" outlineLevel="0" collapsed="false">
      <c r="A185" s="20" t="str">
        <f aca="false">IF(C185="","",ROW()-12)</f>
        <v/>
      </c>
      <c r="B185" s="21" t="str">
        <f aca="false">IF(C185="","",WORKDAY($C$5-1,A185,'NSE Holidays'!$A$5:$A$64))</f>
        <v/>
      </c>
      <c r="C185" s="22" t="str">
        <f aca="false">IF(C184="","",IF(OR(IF(ISNUMBER(G184),H184,F184)&gt;=$C$7,IF(ISNUMBER(G184),H184,F184)&lt;=0),"",IF(ISNUMBER(G184),H184,F184)))</f>
        <v/>
      </c>
      <c r="D185" s="22" t="str">
        <f aca="false">IF(C185="","",ROUND(C185*$C$8,2))</f>
        <v/>
      </c>
      <c r="E185" s="22" t="str">
        <f aca="false">IF(C185="","",ROUND(C185*$C$9,2))</f>
        <v/>
      </c>
      <c r="F185" s="22" t="str">
        <f aca="false">IF(C185="","",C185+D185)</f>
        <v/>
      </c>
      <c r="G185" s="23" t="str">
        <f aca="false">IF(OR(C185="",NOT(ISNUMBER(H185))),"",ROUND(H185-C185,2))</f>
        <v/>
      </c>
      <c r="H185" s="24"/>
      <c r="I185" s="25" t="str">
        <f aca="false">IF(C185="","",IF(ISNUMBER(G185),IF(G185&lt;-E185,"Actual – Loss (limit breached)",IF(G185&lt;0,"Actual – Loss",IF(G185&gt;0,"Actual – Profit","Actual – No trade"))),"Projection"))</f>
        <v/>
      </c>
      <c r="J185" s="26"/>
      <c r="K185" s="27"/>
    </row>
    <row r="186" customFormat="false" ht="15" hidden="false" customHeight="false" outlineLevel="0" collapsed="false">
      <c r="A186" s="20" t="str">
        <f aca="false">IF(C186="","",ROW()-12)</f>
        <v/>
      </c>
      <c r="B186" s="21" t="str">
        <f aca="false">IF(C186="","",WORKDAY($C$5-1,A186,'NSE Holidays'!$A$5:$A$64))</f>
        <v/>
      </c>
      <c r="C186" s="22" t="str">
        <f aca="false">IF(C185="","",IF(OR(IF(ISNUMBER(G185),H185,F185)&gt;=$C$7,IF(ISNUMBER(G185),H185,F185)&lt;=0),"",IF(ISNUMBER(G185),H185,F185)))</f>
        <v/>
      </c>
      <c r="D186" s="22" t="str">
        <f aca="false">IF(C186="","",ROUND(C186*$C$8,2))</f>
        <v/>
      </c>
      <c r="E186" s="22" t="str">
        <f aca="false">IF(C186="","",ROUND(C186*$C$9,2))</f>
        <v/>
      </c>
      <c r="F186" s="22" t="str">
        <f aca="false">IF(C186="","",C186+D186)</f>
        <v/>
      </c>
      <c r="G186" s="23" t="str">
        <f aca="false">IF(OR(C186="",NOT(ISNUMBER(H186))),"",ROUND(H186-C186,2))</f>
        <v/>
      </c>
      <c r="H186" s="24"/>
      <c r="I186" s="25" t="str">
        <f aca="false">IF(C186="","",IF(ISNUMBER(G186),IF(G186&lt;-E186,"Actual – Loss (limit breached)",IF(G186&lt;0,"Actual – Loss",IF(G186&gt;0,"Actual – Profit","Actual – No trade"))),"Projection"))</f>
        <v/>
      </c>
      <c r="J186" s="26"/>
      <c r="K186" s="27"/>
    </row>
    <row r="187" customFormat="false" ht="15" hidden="false" customHeight="false" outlineLevel="0" collapsed="false">
      <c r="A187" s="20" t="str">
        <f aca="false">IF(C187="","",ROW()-12)</f>
        <v/>
      </c>
      <c r="B187" s="21" t="str">
        <f aca="false">IF(C187="","",WORKDAY($C$5-1,A187,'NSE Holidays'!$A$5:$A$64))</f>
        <v/>
      </c>
      <c r="C187" s="22" t="str">
        <f aca="false">IF(C186="","",IF(OR(IF(ISNUMBER(G186),H186,F186)&gt;=$C$7,IF(ISNUMBER(G186),H186,F186)&lt;=0),"",IF(ISNUMBER(G186),H186,F186)))</f>
        <v/>
      </c>
      <c r="D187" s="22" t="str">
        <f aca="false">IF(C187="","",ROUND(C187*$C$8,2))</f>
        <v/>
      </c>
      <c r="E187" s="22" t="str">
        <f aca="false">IF(C187="","",ROUND(C187*$C$9,2))</f>
        <v/>
      </c>
      <c r="F187" s="22" t="str">
        <f aca="false">IF(C187="","",C187+D187)</f>
        <v/>
      </c>
      <c r="G187" s="23" t="str">
        <f aca="false">IF(OR(C187="",NOT(ISNUMBER(H187))),"",ROUND(H187-C187,2))</f>
        <v/>
      </c>
      <c r="H187" s="24"/>
      <c r="I187" s="25" t="str">
        <f aca="false">IF(C187="","",IF(ISNUMBER(G187),IF(G187&lt;-E187,"Actual – Loss (limit breached)",IF(G187&lt;0,"Actual – Loss",IF(G187&gt;0,"Actual – Profit","Actual – No trade"))),"Projection"))</f>
        <v/>
      </c>
      <c r="J187" s="26"/>
      <c r="K187" s="27"/>
    </row>
    <row r="188" customFormat="false" ht="15" hidden="false" customHeight="false" outlineLevel="0" collapsed="false">
      <c r="A188" s="20" t="str">
        <f aca="false">IF(C188="","",ROW()-12)</f>
        <v/>
      </c>
      <c r="B188" s="21" t="str">
        <f aca="false">IF(C188="","",WORKDAY($C$5-1,A188,'NSE Holidays'!$A$5:$A$64))</f>
        <v/>
      </c>
      <c r="C188" s="22" t="str">
        <f aca="false">IF(C187="","",IF(OR(IF(ISNUMBER(G187),H187,F187)&gt;=$C$7,IF(ISNUMBER(G187),H187,F187)&lt;=0),"",IF(ISNUMBER(G187),H187,F187)))</f>
        <v/>
      </c>
      <c r="D188" s="22" t="str">
        <f aca="false">IF(C188="","",ROUND(C188*$C$8,2))</f>
        <v/>
      </c>
      <c r="E188" s="22" t="str">
        <f aca="false">IF(C188="","",ROUND(C188*$C$9,2))</f>
        <v/>
      </c>
      <c r="F188" s="22" t="str">
        <f aca="false">IF(C188="","",C188+D188)</f>
        <v/>
      </c>
      <c r="G188" s="23" t="str">
        <f aca="false">IF(OR(C188="",NOT(ISNUMBER(H188))),"",ROUND(H188-C188,2))</f>
        <v/>
      </c>
      <c r="H188" s="24"/>
      <c r="I188" s="25" t="str">
        <f aca="false">IF(C188="","",IF(ISNUMBER(G188),IF(G188&lt;-E188,"Actual – Loss (limit breached)",IF(G188&lt;0,"Actual – Loss",IF(G188&gt;0,"Actual – Profit","Actual – No trade"))),"Projection"))</f>
        <v/>
      </c>
      <c r="J188" s="26"/>
      <c r="K188" s="27"/>
    </row>
    <row r="189" customFormat="false" ht="15" hidden="false" customHeight="false" outlineLevel="0" collapsed="false">
      <c r="A189" s="20" t="str">
        <f aca="false">IF(C189="","",ROW()-12)</f>
        <v/>
      </c>
      <c r="B189" s="21" t="str">
        <f aca="false">IF(C189="","",WORKDAY($C$5-1,A189,'NSE Holidays'!$A$5:$A$64))</f>
        <v/>
      </c>
      <c r="C189" s="22" t="str">
        <f aca="false">IF(C188="","",IF(OR(IF(ISNUMBER(G188),H188,F188)&gt;=$C$7,IF(ISNUMBER(G188),H188,F188)&lt;=0),"",IF(ISNUMBER(G188),H188,F188)))</f>
        <v/>
      </c>
      <c r="D189" s="22" t="str">
        <f aca="false">IF(C189="","",ROUND(C189*$C$8,2))</f>
        <v/>
      </c>
      <c r="E189" s="22" t="str">
        <f aca="false">IF(C189="","",ROUND(C189*$C$9,2))</f>
        <v/>
      </c>
      <c r="F189" s="22" t="str">
        <f aca="false">IF(C189="","",C189+D189)</f>
        <v/>
      </c>
      <c r="G189" s="23" t="str">
        <f aca="false">IF(OR(C189="",NOT(ISNUMBER(H189))),"",ROUND(H189-C189,2))</f>
        <v/>
      </c>
      <c r="H189" s="24"/>
      <c r="I189" s="25" t="str">
        <f aca="false">IF(C189="","",IF(ISNUMBER(G189),IF(G189&lt;-E189,"Actual – Loss (limit breached)",IF(G189&lt;0,"Actual – Loss",IF(G189&gt;0,"Actual – Profit","Actual – No trade"))),"Projection"))</f>
        <v/>
      </c>
      <c r="J189" s="26"/>
      <c r="K189" s="27"/>
    </row>
    <row r="190" customFormat="false" ht="15" hidden="false" customHeight="false" outlineLevel="0" collapsed="false">
      <c r="A190" s="20" t="str">
        <f aca="false">IF(C190="","",ROW()-12)</f>
        <v/>
      </c>
      <c r="B190" s="21" t="str">
        <f aca="false">IF(C190="","",WORKDAY($C$5-1,A190,'NSE Holidays'!$A$5:$A$64))</f>
        <v/>
      </c>
      <c r="C190" s="22" t="str">
        <f aca="false">IF(C189="","",IF(OR(IF(ISNUMBER(G189),H189,F189)&gt;=$C$7,IF(ISNUMBER(G189),H189,F189)&lt;=0),"",IF(ISNUMBER(G189),H189,F189)))</f>
        <v/>
      </c>
      <c r="D190" s="22" t="str">
        <f aca="false">IF(C190="","",ROUND(C190*$C$8,2))</f>
        <v/>
      </c>
      <c r="E190" s="22" t="str">
        <f aca="false">IF(C190="","",ROUND(C190*$C$9,2))</f>
        <v/>
      </c>
      <c r="F190" s="22" t="str">
        <f aca="false">IF(C190="","",C190+D190)</f>
        <v/>
      </c>
      <c r="G190" s="23" t="str">
        <f aca="false">IF(OR(C190="",NOT(ISNUMBER(H190))),"",ROUND(H190-C190,2))</f>
        <v/>
      </c>
      <c r="H190" s="24"/>
      <c r="I190" s="25" t="str">
        <f aca="false">IF(C190="","",IF(ISNUMBER(G190),IF(G190&lt;-E190,"Actual – Loss (limit breached)",IF(G190&lt;0,"Actual – Loss",IF(G190&gt;0,"Actual – Profit","Actual – No trade"))),"Projection"))</f>
        <v/>
      </c>
      <c r="J190" s="26"/>
      <c r="K190" s="27"/>
    </row>
    <row r="191" customFormat="false" ht="15" hidden="false" customHeight="false" outlineLevel="0" collapsed="false">
      <c r="A191" s="20" t="str">
        <f aca="false">IF(C191="","",ROW()-12)</f>
        <v/>
      </c>
      <c r="B191" s="21" t="str">
        <f aca="false">IF(C191="","",WORKDAY($C$5-1,A191,'NSE Holidays'!$A$5:$A$64))</f>
        <v/>
      </c>
      <c r="C191" s="22" t="str">
        <f aca="false">IF(C190="","",IF(OR(IF(ISNUMBER(G190),H190,F190)&gt;=$C$7,IF(ISNUMBER(G190),H190,F190)&lt;=0),"",IF(ISNUMBER(G190),H190,F190)))</f>
        <v/>
      </c>
      <c r="D191" s="22" t="str">
        <f aca="false">IF(C191="","",ROUND(C191*$C$8,2))</f>
        <v/>
      </c>
      <c r="E191" s="22" t="str">
        <f aca="false">IF(C191="","",ROUND(C191*$C$9,2))</f>
        <v/>
      </c>
      <c r="F191" s="22" t="str">
        <f aca="false">IF(C191="","",C191+D191)</f>
        <v/>
      </c>
      <c r="G191" s="23" t="str">
        <f aca="false">IF(OR(C191="",NOT(ISNUMBER(H191))),"",ROUND(H191-C191,2))</f>
        <v/>
      </c>
      <c r="H191" s="24"/>
      <c r="I191" s="25" t="str">
        <f aca="false">IF(C191="","",IF(ISNUMBER(G191),IF(G191&lt;-E191,"Actual – Loss (limit breached)",IF(G191&lt;0,"Actual – Loss",IF(G191&gt;0,"Actual – Profit","Actual – No trade"))),"Projection"))</f>
        <v/>
      </c>
      <c r="J191" s="26"/>
      <c r="K191" s="27"/>
    </row>
    <row r="192" customFormat="false" ht="15" hidden="false" customHeight="false" outlineLevel="0" collapsed="false">
      <c r="A192" s="20" t="str">
        <f aca="false">IF(C192="","",ROW()-12)</f>
        <v/>
      </c>
      <c r="B192" s="21" t="str">
        <f aca="false">IF(C192="","",WORKDAY($C$5-1,A192,'NSE Holidays'!$A$5:$A$64))</f>
        <v/>
      </c>
      <c r="C192" s="22" t="str">
        <f aca="false">IF(C191="","",IF(OR(IF(ISNUMBER(G191),H191,F191)&gt;=$C$7,IF(ISNUMBER(G191),H191,F191)&lt;=0),"",IF(ISNUMBER(G191),H191,F191)))</f>
        <v/>
      </c>
      <c r="D192" s="22" t="str">
        <f aca="false">IF(C192="","",ROUND(C192*$C$8,2))</f>
        <v/>
      </c>
      <c r="E192" s="22" t="str">
        <f aca="false">IF(C192="","",ROUND(C192*$C$9,2))</f>
        <v/>
      </c>
      <c r="F192" s="22" t="str">
        <f aca="false">IF(C192="","",C192+D192)</f>
        <v/>
      </c>
      <c r="G192" s="23" t="str">
        <f aca="false">IF(OR(C192="",NOT(ISNUMBER(H192))),"",ROUND(H192-C192,2))</f>
        <v/>
      </c>
      <c r="H192" s="24"/>
      <c r="I192" s="25" t="str">
        <f aca="false">IF(C192="","",IF(ISNUMBER(G192),IF(G192&lt;-E192,"Actual – Loss (limit breached)",IF(G192&lt;0,"Actual – Loss",IF(G192&gt;0,"Actual – Profit","Actual – No trade"))),"Projection"))</f>
        <v/>
      </c>
      <c r="J192" s="26"/>
      <c r="K192" s="27"/>
    </row>
    <row r="193" customFormat="false" ht="15" hidden="false" customHeight="false" outlineLevel="0" collapsed="false">
      <c r="A193" s="20" t="str">
        <f aca="false">IF(C193="","",ROW()-12)</f>
        <v/>
      </c>
      <c r="B193" s="21" t="str">
        <f aca="false">IF(C193="","",WORKDAY($C$5-1,A193,'NSE Holidays'!$A$5:$A$64))</f>
        <v/>
      </c>
      <c r="C193" s="22" t="str">
        <f aca="false">IF(C192="","",IF(OR(IF(ISNUMBER(G192),H192,F192)&gt;=$C$7,IF(ISNUMBER(G192),H192,F192)&lt;=0),"",IF(ISNUMBER(G192),H192,F192)))</f>
        <v/>
      </c>
      <c r="D193" s="22" t="str">
        <f aca="false">IF(C193="","",ROUND(C193*$C$8,2))</f>
        <v/>
      </c>
      <c r="E193" s="22" t="str">
        <f aca="false">IF(C193="","",ROUND(C193*$C$9,2))</f>
        <v/>
      </c>
      <c r="F193" s="22" t="str">
        <f aca="false">IF(C193="","",C193+D193)</f>
        <v/>
      </c>
      <c r="G193" s="23" t="str">
        <f aca="false">IF(OR(C193="",NOT(ISNUMBER(H193))),"",ROUND(H193-C193,2))</f>
        <v/>
      </c>
      <c r="H193" s="24"/>
      <c r="I193" s="25" t="str">
        <f aca="false">IF(C193="","",IF(ISNUMBER(G193),IF(G193&lt;-E193,"Actual – Loss (limit breached)",IF(G193&lt;0,"Actual – Loss",IF(G193&gt;0,"Actual – Profit","Actual – No trade"))),"Projection"))</f>
        <v/>
      </c>
      <c r="J193" s="26"/>
      <c r="K193" s="27"/>
    </row>
    <row r="194" customFormat="false" ht="15" hidden="false" customHeight="false" outlineLevel="0" collapsed="false">
      <c r="A194" s="20" t="str">
        <f aca="false">IF(C194="","",ROW()-12)</f>
        <v/>
      </c>
      <c r="B194" s="21" t="str">
        <f aca="false">IF(C194="","",WORKDAY($C$5-1,A194,'NSE Holidays'!$A$5:$A$64))</f>
        <v/>
      </c>
      <c r="C194" s="22" t="str">
        <f aca="false">IF(C193="","",IF(OR(IF(ISNUMBER(G193),H193,F193)&gt;=$C$7,IF(ISNUMBER(G193),H193,F193)&lt;=0),"",IF(ISNUMBER(G193),H193,F193)))</f>
        <v/>
      </c>
      <c r="D194" s="22" t="str">
        <f aca="false">IF(C194="","",ROUND(C194*$C$8,2))</f>
        <v/>
      </c>
      <c r="E194" s="22" t="str">
        <f aca="false">IF(C194="","",ROUND(C194*$C$9,2))</f>
        <v/>
      </c>
      <c r="F194" s="22" t="str">
        <f aca="false">IF(C194="","",C194+D194)</f>
        <v/>
      </c>
      <c r="G194" s="23" t="str">
        <f aca="false">IF(OR(C194="",NOT(ISNUMBER(H194))),"",ROUND(H194-C194,2))</f>
        <v/>
      </c>
      <c r="H194" s="24"/>
      <c r="I194" s="25" t="str">
        <f aca="false">IF(C194="","",IF(ISNUMBER(G194),IF(G194&lt;-E194,"Actual – Loss (limit breached)",IF(G194&lt;0,"Actual – Loss",IF(G194&gt;0,"Actual – Profit","Actual – No trade"))),"Projection"))</f>
        <v/>
      </c>
      <c r="J194" s="26"/>
      <c r="K194" s="27"/>
    </row>
    <row r="195" customFormat="false" ht="15" hidden="false" customHeight="false" outlineLevel="0" collapsed="false">
      <c r="A195" s="20" t="str">
        <f aca="false">IF(C195="","",ROW()-12)</f>
        <v/>
      </c>
      <c r="B195" s="21" t="str">
        <f aca="false">IF(C195="","",WORKDAY($C$5-1,A195,'NSE Holidays'!$A$5:$A$64))</f>
        <v/>
      </c>
      <c r="C195" s="22" t="str">
        <f aca="false">IF(C194="","",IF(OR(IF(ISNUMBER(G194),H194,F194)&gt;=$C$7,IF(ISNUMBER(G194),H194,F194)&lt;=0),"",IF(ISNUMBER(G194),H194,F194)))</f>
        <v/>
      </c>
      <c r="D195" s="22" t="str">
        <f aca="false">IF(C195="","",ROUND(C195*$C$8,2))</f>
        <v/>
      </c>
      <c r="E195" s="22" t="str">
        <f aca="false">IF(C195="","",ROUND(C195*$C$9,2))</f>
        <v/>
      </c>
      <c r="F195" s="22" t="str">
        <f aca="false">IF(C195="","",C195+D195)</f>
        <v/>
      </c>
      <c r="G195" s="23" t="str">
        <f aca="false">IF(OR(C195="",NOT(ISNUMBER(H195))),"",ROUND(H195-C195,2))</f>
        <v/>
      </c>
      <c r="H195" s="24"/>
      <c r="I195" s="25" t="str">
        <f aca="false">IF(C195="","",IF(ISNUMBER(G195),IF(G195&lt;-E195,"Actual – Loss (limit breached)",IF(G195&lt;0,"Actual – Loss",IF(G195&gt;0,"Actual – Profit","Actual – No trade"))),"Projection"))</f>
        <v/>
      </c>
      <c r="J195" s="26"/>
      <c r="K195" s="27"/>
    </row>
    <row r="196" customFormat="false" ht="15" hidden="false" customHeight="false" outlineLevel="0" collapsed="false">
      <c r="A196" s="20" t="str">
        <f aca="false">IF(C196="","",ROW()-12)</f>
        <v/>
      </c>
      <c r="B196" s="21" t="str">
        <f aca="false">IF(C196="","",WORKDAY($C$5-1,A196,'NSE Holidays'!$A$5:$A$64))</f>
        <v/>
      </c>
      <c r="C196" s="22" t="str">
        <f aca="false">IF(C195="","",IF(OR(IF(ISNUMBER(G195),H195,F195)&gt;=$C$7,IF(ISNUMBER(G195),H195,F195)&lt;=0),"",IF(ISNUMBER(G195),H195,F195)))</f>
        <v/>
      </c>
      <c r="D196" s="22" t="str">
        <f aca="false">IF(C196="","",ROUND(C196*$C$8,2))</f>
        <v/>
      </c>
      <c r="E196" s="22" t="str">
        <f aca="false">IF(C196="","",ROUND(C196*$C$9,2))</f>
        <v/>
      </c>
      <c r="F196" s="22" t="str">
        <f aca="false">IF(C196="","",C196+D196)</f>
        <v/>
      </c>
      <c r="G196" s="23" t="str">
        <f aca="false">IF(OR(C196="",NOT(ISNUMBER(H196))),"",ROUND(H196-C196,2))</f>
        <v/>
      </c>
      <c r="H196" s="24"/>
      <c r="I196" s="25" t="str">
        <f aca="false">IF(C196="","",IF(ISNUMBER(G196),IF(G196&lt;-E196,"Actual – Loss (limit breached)",IF(G196&lt;0,"Actual – Loss",IF(G196&gt;0,"Actual – Profit","Actual – No trade"))),"Projection"))</f>
        <v/>
      </c>
      <c r="J196" s="26"/>
      <c r="K196" s="27"/>
    </row>
    <row r="197" customFormat="false" ht="15" hidden="false" customHeight="false" outlineLevel="0" collapsed="false">
      <c r="A197" s="20" t="str">
        <f aca="false">IF(C197="","",ROW()-12)</f>
        <v/>
      </c>
      <c r="B197" s="21" t="str">
        <f aca="false">IF(C197="","",WORKDAY($C$5-1,A197,'NSE Holidays'!$A$5:$A$64))</f>
        <v/>
      </c>
      <c r="C197" s="22" t="str">
        <f aca="false">IF(C196="","",IF(OR(IF(ISNUMBER(G196),H196,F196)&gt;=$C$7,IF(ISNUMBER(G196),H196,F196)&lt;=0),"",IF(ISNUMBER(G196),H196,F196)))</f>
        <v/>
      </c>
      <c r="D197" s="22" t="str">
        <f aca="false">IF(C197="","",ROUND(C197*$C$8,2))</f>
        <v/>
      </c>
      <c r="E197" s="22" t="str">
        <f aca="false">IF(C197="","",ROUND(C197*$C$9,2))</f>
        <v/>
      </c>
      <c r="F197" s="22" t="str">
        <f aca="false">IF(C197="","",C197+D197)</f>
        <v/>
      </c>
      <c r="G197" s="23" t="str">
        <f aca="false">IF(OR(C197="",NOT(ISNUMBER(H197))),"",ROUND(H197-C197,2))</f>
        <v/>
      </c>
      <c r="H197" s="24"/>
      <c r="I197" s="25" t="str">
        <f aca="false">IF(C197="","",IF(ISNUMBER(G197),IF(G197&lt;-E197,"Actual – Loss (limit breached)",IF(G197&lt;0,"Actual – Loss",IF(G197&gt;0,"Actual – Profit","Actual – No trade"))),"Projection"))</f>
        <v/>
      </c>
      <c r="J197" s="26"/>
      <c r="K197" s="27"/>
    </row>
    <row r="198" customFormat="false" ht="15" hidden="false" customHeight="false" outlineLevel="0" collapsed="false">
      <c r="A198" s="20" t="str">
        <f aca="false">IF(C198="","",ROW()-12)</f>
        <v/>
      </c>
      <c r="B198" s="21" t="str">
        <f aca="false">IF(C198="","",WORKDAY($C$5-1,A198,'NSE Holidays'!$A$5:$A$64))</f>
        <v/>
      </c>
      <c r="C198" s="22" t="str">
        <f aca="false">IF(C197="","",IF(OR(IF(ISNUMBER(G197),H197,F197)&gt;=$C$7,IF(ISNUMBER(G197),H197,F197)&lt;=0),"",IF(ISNUMBER(G197),H197,F197)))</f>
        <v/>
      </c>
      <c r="D198" s="22" t="str">
        <f aca="false">IF(C198="","",ROUND(C198*$C$8,2))</f>
        <v/>
      </c>
      <c r="E198" s="22" t="str">
        <f aca="false">IF(C198="","",ROUND(C198*$C$9,2))</f>
        <v/>
      </c>
      <c r="F198" s="22" t="str">
        <f aca="false">IF(C198="","",C198+D198)</f>
        <v/>
      </c>
      <c r="G198" s="23" t="str">
        <f aca="false">IF(OR(C198="",NOT(ISNUMBER(H198))),"",ROUND(H198-C198,2))</f>
        <v/>
      </c>
      <c r="H198" s="24"/>
      <c r="I198" s="25" t="str">
        <f aca="false">IF(C198="","",IF(ISNUMBER(G198),IF(G198&lt;-E198,"Actual – Loss (limit breached)",IF(G198&lt;0,"Actual – Loss",IF(G198&gt;0,"Actual – Profit","Actual – No trade"))),"Projection"))</f>
        <v/>
      </c>
      <c r="J198" s="26"/>
      <c r="K198" s="27"/>
    </row>
    <row r="199" customFormat="false" ht="15" hidden="false" customHeight="false" outlineLevel="0" collapsed="false">
      <c r="A199" s="20" t="str">
        <f aca="false">IF(C199="","",ROW()-12)</f>
        <v/>
      </c>
      <c r="B199" s="21" t="str">
        <f aca="false">IF(C199="","",WORKDAY($C$5-1,A199,'NSE Holidays'!$A$5:$A$64))</f>
        <v/>
      </c>
      <c r="C199" s="22" t="str">
        <f aca="false">IF(C198="","",IF(OR(IF(ISNUMBER(G198),H198,F198)&gt;=$C$7,IF(ISNUMBER(G198),H198,F198)&lt;=0),"",IF(ISNUMBER(G198),H198,F198)))</f>
        <v/>
      </c>
      <c r="D199" s="22" t="str">
        <f aca="false">IF(C199="","",ROUND(C199*$C$8,2))</f>
        <v/>
      </c>
      <c r="E199" s="22" t="str">
        <f aca="false">IF(C199="","",ROUND(C199*$C$9,2))</f>
        <v/>
      </c>
      <c r="F199" s="22" t="str">
        <f aca="false">IF(C199="","",C199+D199)</f>
        <v/>
      </c>
      <c r="G199" s="23" t="str">
        <f aca="false">IF(OR(C199="",NOT(ISNUMBER(H199))),"",ROUND(H199-C199,2))</f>
        <v/>
      </c>
      <c r="H199" s="24"/>
      <c r="I199" s="25" t="str">
        <f aca="false">IF(C199="","",IF(ISNUMBER(G199),IF(G199&lt;-E199,"Actual – Loss (limit breached)",IF(G199&lt;0,"Actual – Loss",IF(G199&gt;0,"Actual – Profit","Actual – No trade"))),"Projection"))</f>
        <v/>
      </c>
      <c r="J199" s="26"/>
      <c r="K199" s="27"/>
    </row>
    <row r="200" customFormat="false" ht="15" hidden="false" customHeight="false" outlineLevel="0" collapsed="false">
      <c r="A200" s="20" t="str">
        <f aca="false">IF(C200="","",ROW()-12)</f>
        <v/>
      </c>
      <c r="B200" s="21" t="str">
        <f aca="false">IF(C200="","",WORKDAY($C$5-1,A200,'NSE Holidays'!$A$5:$A$64))</f>
        <v/>
      </c>
      <c r="C200" s="22" t="str">
        <f aca="false">IF(C199="","",IF(OR(IF(ISNUMBER(G199),H199,F199)&gt;=$C$7,IF(ISNUMBER(G199),H199,F199)&lt;=0),"",IF(ISNUMBER(G199),H199,F199)))</f>
        <v/>
      </c>
      <c r="D200" s="22" t="str">
        <f aca="false">IF(C200="","",ROUND(C200*$C$8,2))</f>
        <v/>
      </c>
      <c r="E200" s="22" t="str">
        <f aca="false">IF(C200="","",ROUND(C200*$C$9,2))</f>
        <v/>
      </c>
      <c r="F200" s="22" t="str">
        <f aca="false">IF(C200="","",C200+D200)</f>
        <v/>
      </c>
      <c r="G200" s="23" t="str">
        <f aca="false">IF(OR(C200="",NOT(ISNUMBER(H200))),"",ROUND(H200-C200,2))</f>
        <v/>
      </c>
      <c r="H200" s="24"/>
      <c r="I200" s="25" t="str">
        <f aca="false">IF(C200="","",IF(ISNUMBER(G200),IF(G200&lt;-E200,"Actual – Loss (limit breached)",IF(G200&lt;0,"Actual – Loss",IF(G200&gt;0,"Actual – Profit","Actual – No trade"))),"Projection"))</f>
        <v/>
      </c>
      <c r="J200" s="26"/>
      <c r="K200" s="27"/>
    </row>
    <row r="201" customFormat="false" ht="15" hidden="false" customHeight="false" outlineLevel="0" collapsed="false">
      <c r="A201" s="20" t="str">
        <f aca="false">IF(C201="","",ROW()-12)</f>
        <v/>
      </c>
      <c r="B201" s="21" t="str">
        <f aca="false">IF(C201="","",WORKDAY($C$5-1,A201,'NSE Holidays'!$A$5:$A$64))</f>
        <v/>
      </c>
      <c r="C201" s="22" t="str">
        <f aca="false">IF(C200="","",IF(OR(IF(ISNUMBER(G200),H200,F200)&gt;=$C$7,IF(ISNUMBER(G200),H200,F200)&lt;=0),"",IF(ISNUMBER(G200),H200,F200)))</f>
        <v/>
      </c>
      <c r="D201" s="22" t="str">
        <f aca="false">IF(C201="","",ROUND(C201*$C$8,2))</f>
        <v/>
      </c>
      <c r="E201" s="22" t="str">
        <f aca="false">IF(C201="","",ROUND(C201*$C$9,2))</f>
        <v/>
      </c>
      <c r="F201" s="22" t="str">
        <f aca="false">IF(C201="","",C201+D201)</f>
        <v/>
      </c>
      <c r="G201" s="23" t="str">
        <f aca="false">IF(OR(C201="",NOT(ISNUMBER(H201))),"",ROUND(H201-C201,2))</f>
        <v/>
      </c>
      <c r="H201" s="24"/>
      <c r="I201" s="25" t="str">
        <f aca="false">IF(C201="","",IF(ISNUMBER(G201),IF(G201&lt;-E201,"Actual – Loss (limit breached)",IF(G201&lt;0,"Actual – Loss",IF(G201&gt;0,"Actual – Profit","Actual – No trade"))),"Projection"))</f>
        <v/>
      </c>
      <c r="J201" s="26"/>
      <c r="K201" s="27"/>
    </row>
    <row r="202" customFormat="false" ht="15" hidden="false" customHeight="false" outlineLevel="0" collapsed="false">
      <c r="A202" s="20" t="str">
        <f aca="false">IF(C202="","",ROW()-12)</f>
        <v/>
      </c>
      <c r="B202" s="21" t="str">
        <f aca="false">IF(C202="","",WORKDAY($C$5-1,A202,'NSE Holidays'!$A$5:$A$64))</f>
        <v/>
      </c>
      <c r="C202" s="22" t="str">
        <f aca="false">IF(C201="","",IF(OR(IF(ISNUMBER(G201),H201,F201)&gt;=$C$7,IF(ISNUMBER(G201),H201,F201)&lt;=0),"",IF(ISNUMBER(G201),H201,F201)))</f>
        <v/>
      </c>
      <c r="D202" s="22" t="str">
        <f aca="false">IF(C202="","",ROUND(C202*$C$8,2))</f>
        <v/>
      </c>
      <c r="E202" s="22" t="str">
        <f aca="false">IF(C202="","",ROUND(C202*$C$9,2))</f>
        <v/>
      </c>
      <c r="F202" s="22" t="str">
        <f aca="false">IF(C202="","",C202+D202)</f>
        <v/>
      </c>
      <c r="G202" s="23" t="str">
        <f aca="false">IF(OR(C202="",NOT(ISNUMBER(H202))),"",ROUND(H202-C202,2))</f>
        <v/>
      </c>
      <c r="H202" s="24"/>
      <c r="I202" s="25" t="str">
        <f aca="false">IF(C202="","",IF(ISNUMBER(G202),IF(G202&lt;-E202,"Actual – Loss (limit breached)",IF(G202&lt;0,"Actual – Loss",IF(G202&gt;0,"Actual – Profit","Actual – No trade"))),"Projection"))</f>
        <v/>
      </c>
      <c r="J202" s="26"/>
      <c r="K202" s="27"/>
    </row>
    <row r="203" customFormat="false" ht="15" hidden="false" customHeight="false" outlineLevel="0" collapsed="false">
      <c r="A203" s="20" t="str">
        <f aca="false">IF(C203="","",ROW()-12)</f>
        <v/>
      </c>
      <c r="B203" s="21" t="str">
        <f aca="false">IF(C203="","",WORKDAY($C$5-1,A203,'NSE Holidays'!$A$5:$A$64))</f>
        <v/>
      </c>
      <c r="C203" s="22" t="str">
        <f aca="false">IF(C202="","",IF(OR(IF(ISNUMBER(G202),H202,F202)&gt;=$C$7,IF(ISNUMBER(G202),H202,F202)&lt;=0),"",IF(ISNUMBER(G202),H202,F202)))</f>
        <v/>
      </c>
      <c r="D203" s="22" t="str">
        <f aca="false">IF(C203="","",ROUND(C203*$C$8,2))</f>
        <v/>
      </c>
      <c r="E203" s="22" t="str">
        <f aca="false">IF(C203="","",ROUND(C203*$C$9,2))</f>
        <v/>
      </c>
      <c r="F203" s="22" t="str">
        <f aca="false">IF(C203="","",C203+D203)</f>
        <v/>
      </c>
      <c r="G203" s="23" t="str">
        <f aca="false">IF(OR(C203="",NOT(ISNUMBER(H203))),"",ROUND(H203-C203,2))</f>
        <v/>
      </c>
      <c r="H203" s="24"/>
      <c r="I203" s="25" t="str">
        <f aca="false">IF(C203="","",IF(ISNUMBER(G203),IF(G203&lt;-E203,"Actual – Loss (limit breached)",IF(G203&lt;0,"Actual – Loss",IF(G203&gt;0,"Actual – Profit","Actual – No trade"))),"Projection"))</f>
        <v/>
      </c>
      <c r="J203" s="26"/>
      <c r="K203" s="27"/>
    </row>
    <row r="204" customFormat="false" ht="15" hidden="false" customHeight="false" outlineLevel="0" collapsed="false">
      <c r="A204" s="20" t="str">
        <f aca="false">IF(C204="","",ROW()-12)</f>
        <v/>
      </c>
      <c r="B204" s="21" t="str">
        <f aca="false">IF(C204="","",WORKDAY($C$5-1,A204,'NSE Holidays'!$A$5:$A$64))</f>
        <v/>
      </c>
      <c r="C204" s="22" t="str">
        <f aca="false">IF(C203="","",IF(OR(IF(ISNUMBER(G203),H203,F203)&gt;=$C$7,IF(ISNUMBER(G203),H203,F203)&lt;=0),"",IF(ISNUMBER(G203),H203,F203)))</f>
        <v/>
      </c>
      <c r="D204" s="22" t="str">
        <f aca="false">IF(C204="","",ROUND(C204*$C$8,2))</f>
        <v/>
      </c>
      <c r="E204" s="22" t="str">
        <f aca="false">IF(C204="","",ROUND(C204*$C$9,2))</f>
        <v/>
      </c>
      <c r="F204" s="22" t="str">
        <f aca="false">IF(C204="","",C204+D204)</f>
        <v/>
      </c>
      <c r="G204" s="23" t="str">
        <f aca="false">IF(OR(C204="",NOT(ISNUMBER(H204))),"",ROUND(H204-C204,2))</f>
        <v/>
      </c>
      <c r="H204" s="24"/>
      <c r="I204" s="25" t="str">
        <f aca="false">IF(C204="","",IF(ISNUMBER(G204),IF(G204&lt;-E204,"Actual – Loss (limit breached)",IF(G204&lt;0,"Actual – Loss",IF(G204&gt;0,"Actual – Profit","Actual – No trade"))),"Projection"))</f>
        <v/>
      </c>
      <c r="J204" s="26"/>
      <c r="K204" s="27"/>
    </row>
    <row r="205" customFormat="false" ht="15" hidden="false" customHeight="false" outlineLevel="0" collapsed="false">
      <c r="A205" s="20" t="str">
        <f aca="false">IF(C205="","",ROW()-12)</f>
        <v/>
      </c>
      <c r="B205" s="21" t="str">
        <f aca="false">IF(C205="","",WORKDAY($C$5-1,A205,'NSE Holidays'!$A$5:$A$64))</f>
        <v/>
      </c>
      <c r="C205" s="22" t="str">
        <f aca="false">IF(C204="","",IF(OR(IF(ISNUMBER(G204),H204,F204)&gt;=$C$7,IF(ISNUMBER(G204),H204,F204)&lt;=0),"",IF(ISNUMBER(G204),H204,F204)))</f>
        <v/>
      </c>
      <c r="D205" s="22" t="str">
        <f aca="false">IF(C205="","",ROUND(C205*$C$8,2))</f>
        <v/>
      </c>
      <c r="E205" s="22" t="str">
        <f aca="false">IF(C205="","",ROUND(C205*$C$9,2))</f>
        <v/>
      </c>
      <c r="F205" s="22" t="str">
        <f aca="false">IF(C205="","",C205+D205)</f>
        <v/>
      </c>
      <c r="G205" s="23" t="str">
        <f aca="false">IF(OR(C205="",NOT(ISNUMBER(H205))),"",ROUND(H205-C205,2))</f>
        <v/>
      </c>
      <c r="H205" s="24"/>
      <c r="I205" s="25" t="str">
        <f aca="false">IF(C205="","",IF(ISNUMBER(G205),IF(G205&lt;-E205,"Actual – Loss (limit breached)",IF(G205&lt;0,"Actual – Loss",IF(G205&gt;0,"Actual – Profit","Actual – No trade"))),"Projection"))</f>
        <v/>
      </c>
      <c r="J205" s="26"/>
      <c r="K205" s="27"/>
    </row>
    <row r="206" customFormat="false" ht="15" hidden="false" customHeight="false" outlineLevel="0" collapsed="false">
      <c r="A206" s="20" t="str">
        <f aca="false">IF(C206="","",ROW()-12)</f>
        <v/>
      </c>
      <c r="B206" s="21" t="str">
        <f aca="false">IF(C206="","",WORKDAY($C$5-1,A206,'NSE Holidays'!$A$5:$A$64))</f>
        <v/>
      </c>
      <c r="C206" s="22" t="str">
        <f aca="false">IF(C205="","",IF(OR(IF(ISNUMBER(G205),H205,F205)&gt;=$C$7,IF(ISNUMBER(G205),H205,F205)&lt;=0),"",IF(ISNUMBER(G205),H205,F205)))</f>
        <v/>
      </c>
      <c r="D206" s="22" t="str">
        <f aca="false">IF(C206="","",ROUND(C206*$C$8,2))</f>
        <v/>
      </c>
      <c r="E206" s="22" t="str">
        <f aca="false">IF(C206="","",ROUND(C206*$C$9,2))</f>
        <v/>
      </c>
      <c r="F206" s="22" t="str">
        <f aca="false">IF(C206="","",C206+D206)</f>
        <v/>
      </c>
      <c r="G206" s="23" t="str">
        <f aca="false">IF(OR(C206="",NOT(ISNUMBER(H206))),"",ROUND(H206-C206,2))</f>
        <v/>
      </c>
      <c r="H206" s="24"/>
      <c r="I206" s="25" t="str">
        <f aca="false">IF(C206="","",IF(ISNUMBER(G206),IF(G206&lt;-E206,"Actual – Loss (limit breached)",IF(G206&lt;0,"Actual – Loss",IF(G206&gt;0,"Actual – Profit","Actual – No trade"))),"Projection"))</f>
        <v/>
      </c>
      <c r="J206" s="26"/>
      <c r="K206" s="27"/>
    </row>
    <row r="207" customFormat="false" ht="15" hidden="false" customHeight="false" outlineLevel="0" collapsed="false">
      <c r="A207" s="20" t="str">
        <f aca="false">IF(C207="","",ROW()-12)</f>
        <v/>
      </c>
      <c r="B207" s="21" t="str">
        <f aca="false">IF(C207="","",WORKDAY($C$5-1,A207,'NSE Holidays'!$A$5:$A$64))</f>
        <v/>
      </c>
      <c r="C207" s="22" t="str">
        <f aca="false">IF(C206="","",IF(OR(IF(ISNUMBER(G206),H206,F206)&gt;=$C$7,IF(ISNUMBER(G206),H206,F206)&lt;=0),"",IF(ISNUMBER(G206),H206,F206)))</f>
        <v/>
      </c>
      <c r="D207" s="22" t="str">
        <f aca="false">IF(C207="","",ROUND(C207*$C$8,2))</f>
        <v/>
      </c>
      <c r="E207" s="22" t="str">
        <f aca="false">IF(C207="","",ROUND(C207*$C$9,2))</f>
        <v/>
      </c>
      <c r="F207" s="22" t="str">
        <f aca="false">IF(C207="","",C207+D207)</f>
        <v/>
      </c>
      <c r="G207" s="23" t="str">
        <f aca="false">IF(OR(C207="",NOT(ISNUMBER(H207))),"",ROUND(H207-C207,2))</f>
        <v/>
      </c>
      <c r="H207" s="24"/>
      <c r="I207" s="25" t="str">
        <f aca="false">IF(C207="","",IF(ISNUMBER(G207),IF(G207&lt;-E207,"Actual – Loss (limit breached)",IF(G207&lt;0,"Actual – Loss",IF(G207&gt;0,"Actual – Profit","Actual – No trade"))),"Projection"))</f>
        <v/>
      </c>
      <c r="J207" s="26"/>
      <c r="K207" s="27"/>
    </row>
    <row r="208" customFormat="false" ht="15" hidden="false" customHeight="false" outlineLevel="0" collapsed="false">
      <c r="A208" s="20" t="str">
        <f aca="false">IF(C208="","",ROW()-12)</f>
        <v/>
      </c>
      <c r="B208" s="21" t="str">
        <f aca="false">IF(C208="","",WORKDAY($C$5-1,A208,'NSE Holidays'!$A$5:$A$64))</f>
        <v/>
      </c>
      <c r="C208" s="22" t="str">
        <f aca="false">IF(C207="","",IF(OR(IF(ISNUMBER(G207),H207,F207)&gt;=$C$7,IF(ISNUMBER(G207),H207,F207)&lt;=0),"",IF(ISNUMBER(G207),H207,F207)))</f>
        <v/>
      </c>
      <c r="D208" s="22" t="str">
        <f aca="false">IF(C208="","",ROUND(C208*$C$8,2))</f>
        <v/>
      </c>
      <c r="E208" s="22" t="str">
        <f aca="false">IF(C208="","",ROUND(C208*$C$9,2))</f>
        <v/>
      </c>
      <c r="F208" s="22" t="str">
        <f aca="false">IF(C208="","",C208+D208)</f>
        <v/>
      </c>
      <c r="G208" s="23" t="str">
        <f aca="false">IF(OR(C208="",NOT(ISNUMBER(H208))),"",ROUND(H208-C208,2))</f>
        <v/>
      </c>
      <c r="H208" s="24"/>
      <c r="I208" s="25" t="str">
        <f aca="false">IF(C208="","",IF(ISNUMBER(G208),IF(G208&lt;-E208,"Actual – Loss (limit breached)",IF(G208&lt;0,"Actual – Loss",IF(G208&gt;0,"Actual – Profit","Actual – No trade"))),"Projection"))</f>
        <v/>
      </c>
      <c r="J208" s="26"/>
      <c r="K208" s="27"/>
    </row>
    <row r="209" customFormat="false" ht="15" hidden="false" customHeight="false" outlineLevel="0" collapsed="false">
      <c r="A209" s="20" t="str">
        <f aca="false">IF(C209="","",ROW()-12)</f>
        <v/>
      </c>
      <c r="B209" s="21" t="str">
        <f aca="false">IF(C209="","",WORKDAY($C$5-1,A209,'NSE Holidays'!$A$5:$A$64))</f>
        <v/>
      </c>
      <c r="C209" s="22" t="str">
        <f aca="false">IF(C208="","",IF(OR(IF(ISNUMBER(G208),H208,F208)&gt;=$C$7,IF(ISNUMBER(G208),H208,F208)&lt;=0),"",IF(ISNUMBER(G208),H208,F208)))</f>
        <v/>
      </c>
      <c r="D209" s="22" t="str">
        <f aca="false">IF(C209="","",ROUND(C209*$C$8,2))</f>
        <v/>
      </c>
      <c r="E209" s="22" t="str">
        <f aca="false">IF(C209="","",ROUND(C209*$C$9,2))</f>
        <v/>
      </c>
      <c r="F209" s="22" t="str">
        <f aca="false">IF(C209="","",C209+D209)</f>
        <v/>
      </c>
      <c r="G209" s="23" t="str">
        <f aca="false">IF(OR(C209="",NOT(ISNUMBER(H209))),"",ROUND(H209-C209,2))</f>
        <v/>
      </c>
      <c r="H209" s="24"/>
      <c r="I209" s="25" t="str">
        <f aca="false">IF(C209="","",IF(ISNUMBER(G209),IF(G209&lt;-E209,"Actual – Loss (limit breached)",IF(G209&lt;0,"Actual – Loss",IF(G209&gt;0,"Actual – Profit","Actual – No trade"))),"Projection"))</f>
        <v/>
      </c>
      <c r="J209" s="26"/>
      <c r="K209" s="27"/>
    </row>
    <row r="210" customFormat="false" ht="15" hidden="false" customHeight="false" outlineLevel="0" collapsed="false">
      <c r="A210" s="20" t="str">
        <f aca="false">IF(C210="","",ROW()-12)</f>
        <v/>
      </c>
      <c r="B210" s="21" t="str">
        <f aca="false">IF(C210="","",WORKDAY($C$5-1,A210,'NSE Holidays'!$A$5:$A$64))</f>
        <v/>
      </c>
      <c r="C210" s="22" t="str">
        <f aca="false">IF(C209="","",IF(OR(IF(ISNUMBER(G209),H209,F209)&gt;=$C$7,IF(ISNUMBER(G209),H209,F209)&lt;=0),"",IF(ISNUMBER(G209),H209,F209)))</f>
        <v/>
      </c>
      <c r="D210" s="22" t="str">
        <f aca="false">IF(C210="","",ROUND(C210*$C$8,2))</f>
        <v/>
      </c>
      <c r="E210" s="22" t="str">
        <f aca="false">IF(C210="","",ROUND(C210*$C$9,2))</f>
        <v/>
      </c>
      <c r="F210" s="22" t="str">
        <f aca="false">IF(C210="","",C210+D210)</f>
        <v/>
      </c>
      <c r="G210" s="23" t="str">
        <f aca="false">IF(OR(C210="",NOT(ISNUMBER(H210))),"",ROUND(H210-C210,2))</f>
        <v/>
      </c>
      <c r="H210" s="24"/>
      <c r="I210" s="25" t="str">
        <f aca="false">IF(C210="","",IF(ISNUMBER(G210),IF(G210&lt;-E210,"Actual – Loss (limit breached)",IF(G210&lt;0,"Actual – Loss",IF(G210&gt;0,"Actual – Profit","Actual – No trade"))),"Projection"))</f>
        <v/>
      </c>
      <c r="J210" s="26"/>
      <c r="K210" s="27"/>
    </row>
    <row r="211" customFormat="false" ht="15" hidden="false" customHeight="false" outlineLevel="0" collapsed="false">
      <c r="A211" s="20" t="str">
        <f aca="false">IF(C211="","",ROW()-12)</f>
        <v/>
      </c>
      <c r="B211" s="21" t="str">
        <f aca="false">IF(C211="","",WORKDAY($C$5-1,A211,'NSE Holidays'!$A$5:$A$64))</f>
        <v/>
      </c>
      <c r="C211" s="22" t="str">
        <f aca="false">IF(C210="","",IF(OR(IF(ISNUMBER(G210),H210,F210)&gt;=$C$7,IF(ISNUMBER(G210),H210,F210)&lt;=0),"",IF(ISNUMBER(G210),H210,F210)))</f>
        <v/>
      </c>
      <c r="D211" s="22" t="str">
        <f aca="false">IF(C211="","",ROUND(C211*$C$8,2))</f>
        <v/>
      </c>
      <c r="E211" s="22" t="str">
        <f aca="false">IF(C211="","",ROUND(C211*$C$9,2))</f>
        <v/>
      </c>
      <c r="F211" s="22" t="str">
        <f aca="false">IF(C211="","",C211+D211)</f>
        <v/>
      </c>
      <c r="G211" s="23" t="str">
        <f aca="false">IF(OR(C211="",NOT(ISNUMBER(H211))),"",ROUND(H211-C211,2))</f>
        <v/>
      </c>
      <c r="H211" s="24"/>
      <c r="I211" s="25" t="str">
        <f aca="false">IF(C211="","",IF(ISNUMBER(G211),IF(G211&lt;-E211,"Actual – Loss (limit breached)",IF(G211&lt;0,"Actual – Loss",IF(G211&gt;0,"Actual – Profit","Actual – No trade"))),"Projection"))</f>
        <v/>
      </c>
      <c r="J211" s="26"/>
      <c r="K211" s="27"/>
    </row>
    <row r="212" customFormat="false" ht="15" hidden="false" customHeight="false" outlineLevel="0" collapsed="false">
      <c r="A212" s="20" t="str">
        <f aca="false">IF(C212="","",ROW()-12)</f>
        <v/>
      </c>
      <c r="B212" s="21" t="str">
        <f aca="false">IF(C212="","",WORKDAY($C$5-1,A212,'NSE Holidays'!$A$5:$A$64))</f>
        <v/>
      </c>
      <c r="C212" s="22" t="str">
        <f aca="false">IF(C211="","",IF(OR(IF(ISNUMBER(G211),H211,F211)&gt;=$C$7,IF(ISNUMBER(G211),H211,F211)&lt;=0),"",IF(ISNUMBER(G211),H211,F211)))</f>
        <v/>
      </c>
      <c r="D212" s="22" t="str">
        <f aca="false">IF(C212="","",ROUND(C212*$C$8,2))</f>
        <v/>
      </c>
      <c r="E212" s="22" t="str">
        <f aca="false">IF(C212="","",ROUND(C212*$C$9,2))</f>
        <v/>
      </c>
      <c r="F212" s="22" t="str">
        <f aca="false">IF(C212="","",C212+D212)</f>
        <v/>
      </c>
      <c r="G212" s="23" t="str">
        <f aca="false">IF(OR(C212="",NOT(ISNUMBER(H212))),"",ROUND(H212-C212,2))</f>
        <v/>
      </c>
      <c r="H212" s="24"/>
      <c r="I212" s="25" t="str">
        <f aca="false">IF(C212="","",IF(ISNUMBER(G212),IF(G212&lt;-E212,"Actual – Loss (limit breached)",IF(G212&lt;0,"Actual – Loss",IF(G212&gt;0,"Actual – Profit","Actual – No trade"))),"Projection"))</f>
        <v/>
      </c>
      <c r="J212" s="26"/>
      <c r="K212" s="27"/>
    </row>
    <row r="213" customFormat="false" ht="15" hidden="false" customHeight="false" outlineLevel="0" collapsed="false">
      <c r="A213" s="20" t="str">
        <f aca="false">IF(C213="","",ROW()-12)</f>
        <v/>
      </c>
      <c r="B213" s="21" t="str">
        <f aca="false">IF(C213="","",WORKDAY($C$5-1,A213,'NSE Holidays'!$A$5:$A$64))</f>
        <v/>
      </c>
      <c r="C213" s="22" t="str">
        <f aca="false">IF(C212="","",IF(OR(IF(ISNUMBER(G212),H212,F212)&gt;=$C$7,IF(ISNUMBER(G212),H212,F212)&lt;=0),"",IF(ISNUMBER(G212),H212,F212)))</f>
        <v/>
      </c>
      <c r="D213" s="22" t="str">
        <f aca="false">IF(C213="","",ROUND(C213*$C$8,2))</f>
        <v/>
      </c>
      <c r="E213" s="22" t="str">
        <f aca="false">IF(C213="","",ROUND(C213*$C$9,2))</f>
        <v/>
      </c>
      <c r="F213" s="22" t="str">
        <f aca="false">IF(C213="","",C213+D213)</f>
        <v/>
      </c>
      <c r="G213" s="23" t="str">
        <f aca="false">IF(OR(C213="",NOT(ISNUMBER(H213))),"",ROUND(H213-C213,2))</f>
        <v/>
      </c>
      <c r="H213" s="24"/>
      <c r="I213" s="25" t="str">
        <f aca="false">IF(C213="","",IF(ISNUMBER(G213),IF(G213&lt;-E213,"Actual – Loss (limit breached)",IF(G213&lt;0,"Actual – Loss",IF(G213&gt;0,"Actual – Profit","Actual – No trade"))),"Projection"))</f>
        <v/>
      </c>
      <c r="J213" s="26"/>
      <c r="K213" s="27"/>
    </row>
    <row r="214" customFormat="false" ht="15" hidden="false" customHeight="false" outlineLevel="0" collapsed="false">
      <c r="A214" s="20" t="str">
        <f aca="false">IF(C214="","",ROW()-12)</f>
        <v/>
      </c>
      <c r="B214" s="21" t="str">
        <f aca="false">IF(C214="","",WORKDAY($C$5-1,A214,'NSE Holidays'!$A$5:$A$64))</f>
        <v/>
      </c>
      <c r="C214" s="22" t="str">
        <f aca="false">IF(C213="","",IF(OR(IF(ISNUMBER(G213),H213,F213)&gt;=$C$7,IF(ISNUMBER(G213),H213,F213)&lt;=0),"",IF(ISNUMBER(G213),H213,F213)))</f>
        <v/>
      </c>
      <c r="D214" s="22" t="str">
        <f aca="false">IF(C214="","",ROUND(C214*$C$8,2))</f>
        <v/>
      </c>
      <c r="E214" s="22" t="str">
        <f aca="false">IF(C214="","",ROUND(C214*$C$9,2))</f>
        <v/>
      </c>
      <c r="F214" s="22" t="str">
        <f aca="false">IF(C214="","",C214+D214)</f>
        <v/>
      </c>
      <c r="G214" s="23" t="str">
        <f aca="false">IF(OR(C214="",NOT(ISNUMBER(H214))),"",ROUND(H214-C214,2))</f>
        <v/>
      </c>
      <c r="H214" s="24"/>
      <c r="I214" s="25" t="str">
        <f aca="false">IF(C214="","",IF(ISNUMBER(G214),IF(G214&lt;-E214,"Actual – Loss (limit breached)",IF(G214&lt;0,"Actual – Loss",IF(G214&gt;0,"Actual – Profit","Actual – No trade"))),"Projection"))</f>
        <v/>
      </c>
      <c r="J214" s="26"/>
      <c r="K214" s="27"/>
    </row>
    <row r="215" customFormat="false" ht="15" hidden="false" customHeight="false" outlineLevel="0" collapsed="false">
      <c r="A215" s="20" t="str">
        <f aca="false">IF(C215="","",ROW()-12)</f>
        <v/>
      </c>
      <c r="B215" s="21" t="str">
        <f aca="false">IF(C215="","",WORKDAY($C$5-1,A215,'NSE Holidays'!$A$5:$A$64))</f>
        <v/>
      </c>
      <c r="C215" s="22" t="str">
        <f aca="false">IF(C214="","",IF(OR(IF(ISNUMBER(G214),H214,F214)&gt;=$C$7,IF(ISNUMBER(G214),H214,F214)&lt;=0),"",IF(ISNUMBER(G214),H214,F214)))</f>
        <v/>
      </c>
      <c r="D215" s="22" t="str">
        <f aca="false">IF(C215="","",ROUND(C215*$C$8,2))</f>
        <v/>
      </c>
      <c r="E215" s="22" t="str">
        <f aca="false">IF(C215="","",ROUND(C215*$C$9,2))</f>
        <v/>
      </c>
      <c r="F215" s="22" t="str">
        <f aca="false">IF(C215="","",C215+D215)</f>
        <v/>
      </c>
      <c r="G215" s="23" t="str">
        <f aca="false">IF(OR(C215="",NOT(ISNUMBER(H215))),"",ROUND(H215-C215,2))</f>
        <v/>
      </c>
      <c r="H215" s="24"/>
      <c r="I215" s="25" t="str">
        <f aca="false">IF(C215="","",IF(ISNUMBER(G215),IF(G215&lt;-E215,"Actual – Loss (limit breached)",IF(G215&lt;0,"Actual – Loss",IF(G215&gt;0,"Actual – Profit","Actual – No trade"))),"Projection"))</f>
        <v/>
      </c>
      <c r="J215" s="26"/>
      <c r="K215" s="27"/>
    </row>
    <row r="216" customFormat="false" ht="15" hidden="false" customHeight="false" outlineLevel="0" collapsed="false">
      <c r="A216" s="20" t="str">
        <f aca="false">IF(C216="","",ROW()-12)</f>
        <v/>
      </c>
      <c r="B216" s="21" t="str">
        <f aca="false">IF(C216="","",WORKDAY($C$5-1,A216,'NSE Holidays'!$A$5:$A$64))</f>
        <v/>
      </c>
      <c r="C216" s="22" t="str">
        <f aca="false">IF(C215="","",IF(OR(IF(ISNUMBER(G215),H215,F215)&gt;=$C$7,IF(ISNUMBER(G215),H215,F215)&lt;=0),"",IF(ISNUMBER(G215),H215,F215)))</f>
        <v/>
      </c>
      <c r="D216" s="22" t="str">
        <f aca="false">IF(C216="","",ROUND(C216*$C$8,2))</f>
        <v/>
      </c>
      <c r="E216" s="22" t="str">
        <f aca="false">IF(C216="","",ROUND(C216*$C$9,2))</f>
        <v/>
      </c>
      <c r="F216" s="22" t="str">
        <f aca="false">IF(C216="","",C216+D216)</f>
        <v/>
      </c>
      <c r="G216" s="23" t="str">
        <f aca="false">IF(OR(C216="",NOT(ISNUMBER(H216))),"",ROUND(H216-C216,2))</f>
        <v/>
      </c>
      <c r="H216" s="24"/>
      <c r="I216" s="25" t="str">
        <f aca="false">IF(C216="","",IF(ISNUMBER(G216),IF(G216&lt;-E216,"Actual – Loss (limit breached)",IF(G216&lt;0,"Actual – Loss",IF(G216&gt;0,"Actual – Profit","Actual – No trade"))),"Projection"))</f>
        <v/>
      </c>
      <c r="J216" s="26"/>
      <c r="K216" s="27"/>
    </row>
    <row r="217" customFormat="false" ht="15" hidden="false" customHeight="false" outlineLevel="0" collapsed="false">
      <c r="A217" s="20" t="str">
        <f aca="false">IF(C217="","",ROW()-12)</f>
        <v/>
      </c>
      <c r="B217" s="21" t="str">
        <f aca="false">IF(C217="","",WORKDAY($C$5-1,A217,'NSE Holidays'!$A$5:$A$64))</f>
        <v/>
      </c>
      <c r="C217" s="22" t="str">
        <f aca="false">IF(C216="","",IF(OR(IF(ISNUMBER(G216),H216,F216)&gt;=$C$7,IF(ISNUMBER(G216),H216,F216)&lt;=0),"",IF(ISNUMBER(G216),H216,F216)))</f>
        <v/>
      </c>
      <c r="D217" s="22" t="str">
        <f aca="false">IF(C217="","",ROUND(C217*$C$8,2))</f>
        <v/>
      </c>
      <c r="E217" s="22" t="str">
        <f aca="false">IF(C217="","",ROUND(C217*$C$9,2))</f>
        <v/>
      </c>
      <c r="F217" s="22" t="str">
        <f aca="false">IF(C217="","",C217+D217)</f>
        <v/>
      </c>
      <c r="G217" s="23" t="str">
        <f aca="false">IF(OR(C217="",NOT(ISNUMBER(H217))),"",ROUND(H217-C217,2))</f>
        <v/>
      </c>
      <c r="H217" s="24"/>
      <c r="I217" s="25" t="str">
        <f aca="false">IF(C217="","",IF(ISNUMBER(G217),IF(G217&lt;-E217,"Actual – Loss (limit breached)",IF(G217&lt;0,"Actual – Loss",IF(G217&gt;0,"Actual – Profit","Actual – No trade"))),"Projection"))</f>
        <v/>
      </c>
      <c r="J217" s="26"/>
      <c r="K217" s="27"/>
    </row>
    <row r="218" customFormat="false" ht="15" hidden="false" customHeight="false" outlineLevel="0" collapsed="false">
      <c r="A218" s="20" t="str">
        <f aca="false">IF(C218="","",ROW()-12)</f>
        <v/>
      </c>
      <c r="B218" s="21" t="str">
        <f aca="false">IF(C218="","",WORKDAY($C$5-1,A218,'NSE Holidays'!$A$5:$A$64))</f>
        <v/>
      </c>
      <c r="C218" s="22" t="str">
        <f aca="false">IF(C217="","",IF(OR(IF(ISNUMBER(G217),H217,F217)&gt;=$C$7,IF(ISNUMBER(G217),H217,F217)&lt;=0),"",IF(ISNUMBER(G217),H217,F217)))</f>
        <v/>
      </c>
      <c r="D218" s="22" t="str">
        <f aca="false">IF(C218="","",ROUND(C218*$C$8,2))</f>
        <v/>
      </c>
      <c r="E218" s="22" t="str">
        <f aca="false">IF(C218="","",ROUND(C218*$C$9,2))</f>
        <v/>
      </c>
      <c r="F218" s="22" t="str">
        <f aca="false">IF(C218="","",C218+D218)</f>
        <v/>
      </c>
      <c r="G218" s="23" t="str">
        <f aca="false">IF(OR(C218="",NOT(ISNUMBER(H218))),"",ROUND(H218-C218,2))</f>
        <v/>
      </c>
      <c r="H218" s="24"/>
      <c r="I218" s="25" t="str">
        <f aca="false">IF(C218="","",IF(ISNUMBER(G218),IF(G218&lt;-E218,"Actual – Loss (limit breached)",IF(G218&lt;0,"Actual – Loss",IF(G218&gt;0,"Actual – Profit","Actual – No trade"))),"Projection"))</f>
        <v/>
      </c>
      <c r="J218" s="26"/>
      <c r="K218" s="27"/>
    </row>
    <row r="219" customFormat="false" ht="15" hidden="false" customHeight="false" outlineLevel="0" collapsed="false">
      <c r="A219" s="20" t="str">
        <f aca="false">IF(C219="","",ROW()-12)</f>
        <v/>
      </c>
      <c r="B219" s="21" t="str">
        <f aca="false">IF(C219="","",WORKDAY($C$5-1,A219,'NSE Holidays'!$A$5:$A$64))</f>
        <v/>
      </c>
      <c r="C219" s="22" t="str">
        <f aca="false">IF(C218="","",IF(OR(IF(ISNUMBER(G218),H218,F218)&gt;=$C$7,IF(ISNUMBER(G218),H218,F218)&lt;=0),"",IF(ISNUMBER(G218),H218,F218)))</f>
        <v/>
      </c>
      <c r="D219" s="22" t="str">
        <f aca="false">IF(C219="","",ROUND(C219*$C$8,2))</f>
        <v/>
      </c>
      <c r="E219" s="22" t="str">
        <f aca="false">IF(C219="","",ROUND(C219*$C$9,2))</f>
        <v/>
      </c>
      <c r="F219" s="22" t="str">
        <f aca="false">IF(C219="","",C219+D219)</f>
        <v/>
      </c>
      <c r="G219" s="23" t="str">
        <f aca="false">IF(OR(C219="",NOT(ISNUMBER(H219))),"",ROUND(H219-C219,2))</f>
        <v/>
      </c>
      <c r="H219" s="24"/>
      <c r="I219" s="25" t="str">
        <f aca="false">IF(C219="","",IF(ISNUMBER(G219),IF(G219&lt;-E219,"Actual – Loss (limit breached)",IF(G219&lt;0,"Actual – Loss",IF(G219&gt;0,"Actual – Profit","Actual – No trade"))),"Projection"))</f>
        <v/>
      </c>
      <c r="J219" s="26"/>
      <c r="K219" s="27"/>
    </row>
    <row r="220" customFormat="false" ht="15" hidden="false" customHeight="false" outlineLevel="0" collapsed="false">
      <c r="A220" s="20" t="str">
        <f aca="false">IF(C220="","",ROW()-12)</f>
        <v/>
      </c>
      <c r="B220" s="21" t="str">
        <f aca="false">IF(C220="","",WORKDAY($C$5-1,A220,'NSE Holidays'!$A$5:$A$64))</f>
        <v/>
      </c>
      <c r="C220" s="22" t="str">
        <f aca="false">IF(C219="","",IF(OR(IF(ISNUMBER(G219),H219,F219)&gt;=$C$7,IF(ISNUMBER(G219),H219,F219)&lt;=0),"",IF(ISNUMBER(G219),H219,F219)))</f>
        <v/>
      </c>
      <c r="D220" s="22" t="str">
        <f aca="false">IF(C220="","",ROUND(C220*$C$8,2))</f>
        <v/>
      </c>
      <c r="E220" s="22" t="str">
        <f aca="false">IF(C220="","",ROUND(C220*$C$9,2))</f>
        <v/>
      </c>
      <c r="F220" s="22" t="str">
        <f aca="false">IF(C220="","",C220+D220)</f>
        <v/>
      </c>
      <c r="G220" s="23" t="str">
        <f aca="false">IF(OR(C220="",NOT(ISNUMBER(H220))),"",ROUND(H220-C220,2))</f>
        <v/>
      </c>
      <c r="H220" s="24"/>
      <c r="I220" s="25" t="str">
        <f aca="false">IF(C220="","",IF(ISNUMBER(G220),IF(G220&lt;-E220,"Actual – Loss (limit breached)",IF(G220&lt;0,"Actual – Loss",IF(G220&gt;0,"Actual – Profit","Actual – No trade"))),"Projection"))</f>
        <v/>
      </c>
      <c r="J220" s="26"/>
      <c r="K220" s="27"/>
    </row>
    <row r="221" customFormat="false" ht="15" hidden="false" customHeight="false" outlineLevel="0" collapsed="false">
      <c r="A221" s="20" t="str">
        <f aca="false">IF(C221="","",ROW()-12)</f>
        <v/>
      </c>
      <c r="B221" s="21" t="str">
        <f aca="false">IF(C221="","",WORKDAY($C$5-1,A221,'NSE Holidays'!$A$5:$A$64))</f>
        <v/>
      </c>
      <c r="C221" s="22" t="str">
        <f aca="false">IF(C220="","",IF(OR(IF(ISNUMBER(G220),H220,F220)&gt;=$C$7,IF(ISNUMBER(G220),H220,F220)&lt;=0),"",IF(ISNUMBER(G220),H220,F220)))</f>
        <v/>
      </c>
      <c r="D221" s="22" t="str">
        <f aca="false">IF(C221="","",ROUND(C221*$C$8,2))</f>
        <v/>
      </c>
      <c r="E221" s="22" t="str">
        <f aca="false">IF(C221="","",ROUND(C221*$C$9,2))</f>
        <v/>
      </c>
      <c r="F221" s="22" t="str">
        <f aca="false">IF(C221="","",C221+D221)</f>
        <v/>
      </c>
      <c r="G221" s="23" t="str">
        <f aca="false">IF(OR(C221="",NOT(ISNUMBER(H221))),"",ROUND(H221-C221,2))</f>
        <v/>
      </c>
      <c r="H221" s="24"/>
      <c r="I221" s="25" t="str">
        <f aca="false">IF(C221="","",IF(ISNUMBER(G221),IF(G221&lt;-E221,"Actual – Loss (limit breached)",IF(G221&lt;0,"Actual – Loss",IF(G221&gt;0,"Actual – Profit","Actual – No trade"))),"Projection"))</f>
        <v/>
      </c>
      <c r="J221" s="26"/>
      <c r="K221" s="27"/>
    </row>
    <row r="222" customFormat="false" ht="15" hidden="false" customHeight="false" outlineLevel="0" collapsed="false">
      <c r="A222" s="20" t="str">
        <f aca="false">IF(C222="","",ROW()-12)</f>
        <v/>
      </c>
      <c r="B222" s="21" t="str">
        <f aca="false">IF(C222="","",WORKDAY($C$5-1,A222,'NSE Holidays'!$A$5:$A$64))</f>
        <v/>
      </c>
      <c r="C222" s="22" t="str">
        <f aca="false">IF(C221="","",IF(OR(IF(ISNUMBER(G221),H221,F221)&gt;=$C$7,IF(ISNUMBER(G221),H221,F221)&lt;=0),"",IF(ISNUMBER(G221),H221,F221)))</f>
        <v/>
      </c>
      <c r="D222" s="22" t="str">
        <f aca="false">IF(C222="","",ROUND(C222*$C$8,2))</f>
        <v/>
      </c>
      <c r="E222" s="22" t="str">
        <f aca="false">IF(C222="","",ROUND(C222*$C$9,2))</f>
        <v/>
      </c>
      <c r="F222" s="22" t="str">
        <f aca="false">IF(C222="","",C222+D222)</f>
        <v/>
      </c>
      <c r="G222" s="23" t="str">
        <f aca="false">IF(OR(C222="",NOT(ISNUMBER(H222))),"",ROUND(H222-C222,2))</f>
        <v/>
      </c>
      <c r="H222" s="24"/>
      <c r="I222" s="25" t="str">
        <f aca="false">IF(C222="","",IF(ISNUMBER(G222),IF(G222&lt;-E222,"Actual – Loss (limit breached)",IF(G222&lt;0,"Actual – Loss",IF(G222&gt;0,"Actual – Profit","Actual – No trade"))),"Projection"))</f>
        <v/>
      </c>
      <c r="J222" s="26"/>
      <c r="K222" s="27"/>
    </row>
    <row r="223" customFormat="false" ht="15" hidden="false" customHeight="false" outlineLevel="0" collapsed="false">
      <c r="A223" s="20" t="str">
        <f aca="false">IF(C223="","",ROW()-12)</f>
        <v/>
      </c>
      <c r="B223" s="21" t="str">
        <f aca="false">IF(C223="","",WORKDAY($C$5-1,A223,'NSE Holidays'!$A$5:$A$64))</f>
        <v/>
      </c>
      <c r="C223" s="22" t="str">
        <f aca="false">IF(C222="","",IF(OR(IF(ISNUMBER(G222),H222,F222)&gt;=$C$7,IF(ISNUMBER(G222),H222,F222)&lt;=0),"",IF(ISNUMBER(G222),H222,F222)))</f>
        <v/>
      </c>
      <c r="D223" s="22" t="str">
        <f aca="false">IF(C223="","",ROUND(C223*$C$8,2))</f>
        <v/>
      </c>
      <c r="E223" s="22" t="str">
        <f aca="false">IF(C223="","",ROUND(C223*$C$9,2))</f>
        <v/>
      </c>
      <c r="F223" s="22" t="str">
        <f aca="false">IF(C223="","",C223+D223)</f>
        <v/>
      </c>
      <c r="G223" s="23" t="str">
        <f aca="false">IF(OR(C223="",NOT(ISNUMBER(H223))),"",ROUND(H223-C223,2))</f>
        <v/>
      </c>
      <c r="H223" s="24"/>
      <c r="I223" s="25" t="str">
        <f aca="false">IF(C223="","",IF(ISNUMBER(G223),IF(G223&lt;-E223,"Actual – Loss (limit breached)",IF(G223&lt;0,"Actual – Loss",IF(G223&gt;0,"Actual – Profit","Actual – No trade"))),"Projection"))</f>
        <v/>
      </c>
      <c r="J223" s="26"/>
      <c r="K223" s="27"/>
    </row>
    <row r="224" customFormat="false" ht="15" hidden="false" customHeight="false" outlineLevel="0" collapsed="false">
      <c r="A224" s="20" t="str">
        <f aca="false">IF(C224="","",ROW()-12)</f>
        <v/>
      </c>
      <c r="B224" s="21" t="str">
        <f aca="false">IF(C224="","",WORKDAY($C$5-1,A224,'NSE Holidays'!$A$5:$A$64))</f>
        <v/>
      </c>
      <c r="C224" s="22" t="str">
        <f aca="false">IF(C223="","",IF(OR(IF(ISNUMBER(G223),H223,F223)&gt;=$C$7,IF(ISNUMBER(G223),H223,F223)&lt;=0),"",IF(ISNUMBER(G223),H223,F223)))</f>
        <v/>
      </c>
      <c r="D224" s="22" t="str">
        <f aca="false">IF(C224="","",ROUND(C224*$C$8,2))</f>
        <v/>
      </c>
      <c r="E224" s="22" t="str">
        <f aca="false">IF(C224="","",ROUND(C224*$C$9,2))</f>
        <v/>
      </c>
      <c r="F224" s="22" t="str">
        <f aca="false">IF(C224="","",C224+D224)</f>
        <v/>
      </c>
      <c r="G224" s="23" t="str">
        <f aca="false">IF(OR(C224="",NOT(ISNUMBER(H224))),"",ROUND(H224-C224,2))</f>
        <v/>
      </c>
      <c r="H224" s="24"/>
      <c r="I224" s="25" t="str">
        <f aca="false">IF(C224="","",IF(ISNUMBER(G224),IF(G224&lt;-E224,"Actual – Loss (limit breached)",IF(G224&lt;0,"Actual – Loss",IF(G224&gt;0,"Actual – Profit","Actual – No trade"))),"Projection"))</f>
        <v/>
      </c>
      <c r="J224" s="26"/>
      <c r="K224" s="27"/>
    </row>
    <row r="225" customFormat="false" ht="15" hidden="false" customHeight="false" outlineLevel="0" collapsed="false">
      <c r="A225" s="20" t="str">
        <f aca="false">IF(C225="","",ROW()-12)</f>
        <v/>
      </c>
      <c r="B225" s="21" t="str">
        <f aca="false">IF(C225="","",WORKDAY($C$5-1,A225,'NSE Holidays'!$A$5:$A$64))</f>
        <v/>
      </c>
      <c r="C225" s="22" t="str">
        <f aca="false">IF(C224="","",IF(OR(IF(ISNUMBER(G224),H224,F224)&gt;=$C$7,IF(ISNUMBER(G224),H224,F224)&lt;=0),"",IF(ISNUMBER(G224),H224,F224)))</f>
        <v/>
      </c>
      <c r="D225" s="22" t="str">
        <f aca="false">IF(C225="","",ROUND(C225*$C$8,2))</f>
        <v/>
      </c>
      <c r="E225" s="22" t="str">
        <f aca="false">IF(C225="","",ROUND(C225*$C$9,2))</f>
        <v/>
      </c>
      <c r="F225" s="22" t="str">
        <f aca="false">IF(C225="","",C225+D225)</f>
        <v/>
      </c>
      <c r="G225" s="23" t="str">
        <f aca="false">IF(OR(C225="",NOT(ISNUMBER(H225))),"",ROUND(H225-C225,2))</f>
        <v/>
      </c>
      <c r="H225" s="24"/>
      <c r="I225" s="25" t="str">
        <f aca="false">IF(C225="","",IF(ISNUMBER(G225),IF(G225&lt;-E225,"Actual – Loss (limit breached)",IF(G225&lt;0,"Actual – Loss",IF(G225&gt;0,"Actual – Profit","Actual – No trade"))),"Projection"))</f>
        <v/>
      </c>
      <c r="J225" s="26"/>
      <c r="K225" s="27"/>
    </row>
    <row r="226" customFormat="false" ht="15" hidden="false" customHeight="false" outlineLevel="0" collapsed="false">
      <c r="A226" s="20" t="str">
        <f aca="false">IF(C226="","",ROW()-12)</f>
        <v/>
      </c>
      <c r="B226" s="21" t="str">
        <f aca="false">IF(C226="","",WORKDAY($C$5-1,A226,'NSE Holidays'!$A$5:$A$64))</f>
        <v/>
      </c>
      <c r="C226" s="22" t="str">
        <f aca="false">IF(C225="","",IF(OR(IF(ISNUMBER(G225),H225,F225)&gt;=$C$7,IF(ISNUMBER(G225),H225,F225)&lt;=0),"",IF(ISNUMBER(G225),H225,F225)))</f>
        <v/>
      </c>
      <c r="D226" s="22" t="str">
        <f aca="false">IF(C226="","",ROUND(C226*$C$8,2))</f>
        <v/>
      </c>
      <c r="E226" s="22" t="str">
        <f aca="false">IF(C226="","",ROUND(C226*$C$9,2))</f>
        <v/>
      </c>
      <c r="F226" s="22" t="str">
        <f aca="false">IF(C226="","",C226+D226)</f>
        <v/>
      </c>
      <c r="G226" s="23" t="str">
        <f aca="false">IF(OR(C226="",NOT(ISNUMBER(H226))),"",ROUND(H226-C226,2))</f>
        <v/>
      </c>
      <c r="H226" s="24"/>
      <c r="I226" s="25" t="str">
        <f aca="false">IF(C226="","",IF(ISNUMBER(G226),IF(G226&lt;-E226,"Actual – Loss (limit breached)",IF(G226&lt;0,"Actual – Loss",IF(G226&gt;0,"Actual – Profit","Actual – No trade"))),"Projection"))</f>
        <v/>
      </c>
      <c r="J226" s="26"/>
      <c r="K226" s="27"/>
    </row>
    <row r="227" customFormat="false" ht="15" hidden="false" customHeight="false" outlineLevel="0" collapsed="false">
      <c r="A227" s="20" t="str">
        <f aca="false">IF(C227="","",ROW()-12)</f>
        <v/>
      </c>
      <c r="B227" s="21" t="str">
        <f aca="false">IF(C227="","",WORKDAY($C$5-1,A227,'NSE Holidays'!$A$5:$A$64))</f>
        <v/>
      </c>
      <c r="C227" s="22" t="str">
        <f aca="false">IF(C226="","",IF(OR(IF(ISNUMBER(G226),H226,F226)&gt;=$C$7,IF(ISNUMBER(G226),H226,F226)&lt;=0),"",IF(ISNUMBER(G226),H226,F226)))</f>
        <v/>
      </c>
      <c r="D227" s="22" t="str">
        <f aca="false">IF(C227="","",ROUND(C227*$C$8,2))</f>
        <v/>
      </c>
      <c r="E227" s="22" t="str">
        <f aca="false">IF(C227="","",ROUND(C227*$C$9,2))</f>
        <v/>
      </c>
      <c r="F227" s="22" t="str">
        <f aca="false">IF(C227="","",C227+D227)</f>
        <v/>
      </c>
      <c r="G227" s="23" t="str">
        <f aca="false">IF(OR(C227="",NOT(ISNUMBER(H227))),"",ROUND(H227-C227,2))</f>
        <v/>
      </c>
      <c r="H227" s="24"/>
      <c r="I227" s="25" t="str">
        <f aca="false">IF(C227="","",IF(ISNUMBER(G227),IF(G227&lt;-E227,"Actual – Loss (limit breached)",IF(G227&lt;0,"Actual – Loss",IF(G227&gt;0,"Actual – Profit","Actual – No trade"))),"Projection"))</f>
        <v/>
      </c>
      <c r="J227" s="26"/>
      <c r="K227" s="27"/>
    </row>
    <row r="228" customFormat="false" ht="15" hidden="false" customHeight="false" outlineLevel="0" collapsed="false">
      <c r="A228" s="20" t="str">
        <f aca="false">IF(C228="","",ROW()-12)</f>
        <v/>
      </c>
      <c r="B228" s="21" t="str">
        <f aca="false">IF(C228="","",WORKDAY($C$5-1,A228,'NSE Holidays'!$A$5:$A$64))</f>
        <v/>
      </c>
      <c r="C228" s="22" t="str">
        <f aca="false">IF(C227="","",IF(OR(IF(ISNUMBER(G227),H227,F227)&gt;=$C$7,IF(ISNUMBER(G227),H227,F227)&lt;=0),"",IF(ISNUMBER(G227),H227,F227)))</f>
        <v/>
      </c>
      <c r="D228" s="22" t="str">
        <f aca="false">IF(C228="","",ROUND(C228*$C$8,2))</f>
        <v/>
      </c>
      <c r="E228" s="22" t="str">
        <f aca="false">IF(C228="","",ROUND(C228*$C$9,2))</f>
        <v/>
      </c>
      <c r="F228" s="22" t="str">
        <f aca="false">IF(C228="","",C228+D228)</f>
        <v/>
      </c>
      <c r="G228" s="23" t="str">
        <f aca="false">IF(OR(C228="",NOT(ISNUMBER(H228))),"",ROUND(H228-C228,2))</f>
        <v/>
      </c>
      <c r="H228" s="24"/>
      <c r="I228" s="25" t="str">
        <f aca="false">IF(C228="","",IF(ISNUMBER(G228),IF(G228&lt;-E228,"Actual – Loss (limit breached)",IF(G228&lt;0,"Actual – Loss",IF(G228&gt;0,"Actual – Profit","Actual – No trade"))),"Projection"))</f>
        <v/>
      </c>
      <c r="J228" s="26"/>
      <c r="K228" s="27"/>
    </row>
    <row r="229" customFormat="false" ht="15" hidden="false" customHeight="false" outlineLevel="0" collapsed="false">
      <c r="A229" s="20" t="str">
        <f aca="false">IF(C229="","",ROW()-12)</f>
        <v/>
      </c>
      <c r="B229" s="21" t="str">
        <f aca="false">IF(C229="","",WORKDAY($C$5-1,A229,'NSE Holidays'!$A$5:$A$64))</f>
        <v/>
      </c>
      <c r="C229" s="22" t="str">
        <f aca="false">IF(C228="","",IF(OR(IF(ISNUMBER(G228),H228,F228)&gt;=$C$7,IF(ISNUMBER(G228),H228,F228)&lt;=0),"",IF(ISNUMBER(G228),H228,F228)))</f>
        <v/>
      </c>
      <c r="D229" s="22" t="str">
        <f aca="false">IF(C229="","",ROUND(C229*$C$8,2))</f>
        <v/>
      </c>
      <c r="E229" s="22" t="str">
        <f aca="false">IF(C229="","",ROUND(C229*$C$9,2))</f>
        <v/>
      </c>
      <c r="F229" s="22" t="str">
        <f aca="false">IF(C229="","",C229+D229)</f>
        <v/>
      </c>
      <c r="G229" s="23" t="str">
        <f aca="false">IF(OR(C229="",NOT(ISNUMBER(H229))),"",ROUND(H229-C229,2))</f>
        <v/>
      </c>
      <c r="H229" s="24"/>
      <c r="I229" s="25" t="str">
        <f aca="false">IF(C229="","",IF(ISNUMBER(G229),IF(G229&lt;-E229,"Actual – Loss (limit breached)",IF(G229&lt;0,"Actual – Loss",IF(G229&gt;0,"Actual – Profit","Actual – No trade"))),"Projection"))</f>
        <v/>
      </c>
      <c r="J229" s="26"/>
      <c r="K229" s="27"/>
    </row>
    <row r="230" customFormat="false" ht="15" hidden="false" customHeight="false" outlineLevel="0" collapsed="false">
      <c r="A230" s="20" t="str">
        <f aca="false">IF(C230="","",ROW()-12)</f>
        <v/>
      </c>
      <c r="B230" s="21" t="str">
        <f aca="false">IF(C230="","",WORKDAY($C$5-1,A230,'NSE Holidays'!$A$5:$A$64))</f>
        <v/>
      </c>
      <c r="C230" s="22" t="str">
        <f aca="false">IF(C229="","",IF(OR(IF(ISNUMBER(G229),H229,F229)&gt;=$C$7,IF(ISNUMBER(G229),H229,F229)&lt;=0),"",IF(ISNUMBER(G229),H229,F229)))</f>
        <v/>
      </c>
      <c r="D230" s="22" t="str">
        <f aca="false">IF(C230="","",ROUND(C230*$C$8,2))</f>
        <v/>
      </c>
      <c r="E230" s="22" t="str">
        <f aca="false">IF(C230="","",ROUND(C230*$C$9,2))</f>
        <v/>
      </c>
      <c r="F230" s="22" t="str">
        <f aca="false">IF(C230="","",C230+D230)</f>
        <v/>
      </c>
      <c r="G230" s="23" t="str">
        <f aca="false">IF(OR(C230="",NOT(ISNUMBER(H230))),"",ROUND(H230-C230,2))</f>
        <v/>
      </c>
      <c r="H230" s="24"/>
      <c r="I230" s="25" t="str">
        <f aca="false">IF(C230="","",IF(ISNUMBER(G230),IF(G230&lt;-E230,"Actual – Loss (limit breached)",IF(G230&lt;0,"Actual – Loss",IF(G230&gt;0,"Actual – Profit","Actual – No trade"))),"Projection"))</f>
        <v/>
      </c>
      <c r="J230" s="26"/>
      <c r="K230" s="27"/>
    </row>
    <row r="231" customFormat="false" ht="15" hidden="false" customHeight="false" outlineLevel="0" collapsed="false">
      <c r="A231" s="20" t="str">
        <f aca="false">IF(C231="","",ROW()-12)</f>
        <v/>
      </c>
      <c r="B231" s="21" t="str">
        <f aca="false">IF(C231="","",WORKDAY($C$5-1,A231,'NSE Holidays'!$A$5:$A$64))</f>
        <v/>
      </c>
      <c r="C231" s="22" t="str">
        <f aca="false">IF(C230="","",IF(OR(IF(ISNUMBER(G230),H230,F230)&gt;=$C$7,IF(ISNUMBER(G230),H230,F230)&lt;=0),"",IF(ISNUMBER(G230),H230,F230)))</f>
        <v/>
      </c>
      <c r="D231" s="22" t="str">
        <f aca="false">IF(C231="","",ROUND(C231*$C$8,2))</f>
        <v/>
      </c>
      <c r="E231" s="22" t="str">
        <f aca="false">IF(C231="","",ROUND(C231*$C$9,2))</f>
        <v/>
      </c>
      <c r="F231" s="22" t="str">
        <f aca="false">IF(C231="","",C231+D231)</f>
        <v/>
      </c>
      <c r="G231" s="23" t="str">
        <f aca="false">IF(OR(C231="",NOT(ISNUMBER(H231))),"",ROUND(H231-C231,2))</f>
        <v/>
      </c>
      <c r="H231" s="24"/>
      <c r="I231" s="25" t="str">
        <f aca="false">IF(C231="","",IF(ISNUMBER(G231),IF(G231&lt;-E231,"Actual – Loss (limit breached)",IF(G231&lt;0,"Actual – Loss",IF(G231&gt;0,"Actual – Profit","Actual – No trade"))),"Projection"))</f>
        <v/>
      </c>
      <c r="J231" s="26"/>
      <c r="K231" s="27"/>
    </row>
    <row r="232" customFormat="false" ht="15" hidden="false" customHeight="false" outlineLevel="0" collapsed="false">
      <c r="A232" s="20" t="str">
        <f aca="false">IF(C232="","",ROW()-12)</f>
        <v/>
      </c>
      <c r="B232" s="21" t="str">
        <f aca="false">IF(C232="","",WORKDAY($C$5-1,A232,'NSE Holidays'!$A$5:$A$64))</f>
        <v/>
      </c>
      <c r="C232" s="22" t="str">
        <f aca="false">IF(C231="","",IF(OR(IF(ISNUMBER(G231),H231,F231)&gt;=$C$7,IF(ISNUMBER(G231),H231,F231)&lt;=0),"",IF(ISNUMBER(G231),H231,F231)))</f>
        <v/>
      </c>
      <c r="D232" s="22" t="str">
        <f aca="false">IF(C232="","",ROUND(C232*$C$8,2))</f>
        <v/>
      </c>
      <c r="E232" s="22" t="str">
        <f aca="false">IF(C232="","",ROUND(C232*$C$9,2))</f>
        <v/>
      </c>
      <c r="F232" s="22" t="str">
        <f aca="false">IF(C232="","",C232+D232)</f>
        <v/>
      </c>
      <c r="G232" s="23" t="str">
        <f aca="false">IF(OR(C232="",NOT(ISNUMBER(H232))),"",ROUND(H232-C232,2))</f>
        <v/>
      </c>
      <c r="H232" s="24"/>
      <c r="I232" s="25" t="str">
        <f aca="false">IF(C232="","",IF(ISNUMBER(G232),IF(G232&lt;-E232,"Actual – Loss (limit breached)",IF(G232&lt;0,"Actual – Loss",IF(G232&gt;0,"Actual – Profit","Actual – No trade"))),"Projection"))</f>
        <v/>
      </c>
      <c r="J232" s="26"/>
      <c r="K232" s="27"/>
    </row>
    <row r="233" customFormat="false" ht="15" hidden="false" customHeight="false" outlineLevel="0" collapsed="false">
      <c r="A233" s="20" t="str">
        <f aca="false">IF(C233="","",ROW()-12)</f>
        <v/>
      </c>
      <c r="B233" s="21" t="str">
        <f aca="false">IF(C233="","",WORKDAY($C$5-1,A233,'NSE Holidays'!$A$5:$A$64))</f>
        <v/>
      </c>
      <c r="C233" s="22" t="str">
        <f aca="false">IF(C232="","",IF(OR(IF(ISNUMBER(G232),H232,F232)&gt;=$C$7,IF(ISNUMBER(G232),H232,F232)&lt;=0),"",IF(ISNUMBER(G232),H232,F232)))</f>
        <v/>
      </c>
      <c r="D233" s="22" t="str">
        <f aca="false">IF(C233="","",ROUND(C233*$C$8,2))</f>
        <v/>
      </c>
      <c r="E233" s="22" t="str">
        <f aca="false">IF(C233="","",ROUND(C233*$C$9,2))</f>
        <v/>
      </c>
      <c r="F233" s="22" t="str">
        <f aca="false">IF(C233="","",C233+D233)</f>
        <v/>
      </c>
      <c r="G233" s="23" t="str">
        <f aca="false">IF(OR(C233="",NOT(ISNUMBER(H233))),"",ROUND(H233-C233,2))</f>
        <v/>
      </c>
      <c r="H233" s="24"/>
      <c r="I233" s="25" t="str">
        <f aca="false">IF(C233="","",IF(ISNUMBER(G233),IF(G233&lt;-E233,"Actual – Loss (limit breached)",IF(G233&lt;0,"Actual – Loss",IF(G233&gt;0,"Actual – Profit","Actual – No trade"))),"Projection"))</f>
        <v/>
      </c>
      <c r="J233" s="26"/>
      <c r="K233" s="27"/>
    </row>
    <row r="234" customFormat="false" ht="15" hidden="false" customHeight="false" outlineLevel="0" collapsed="false">
      <c r="A234" s="20" t="str">
        <f aca="false">IF(C234="","",ROW()-12)</f>
        <v/>
      </c>
      <c r="B234" s="21" t="str">
        <f aca="false">IF(C234="","",WORKDAY($C$5-1,A234,'NSE Holidays'!$A$5:$A$64))</f>
        <v/>
      </c>
      <c r="C234" s="22" t="str">
        <f aca="false">IF(C233="","",IF(OR(IF(ISNUMBER(G233),H233,F233)&gt;=$C$7,IF(ISNUMBER(G233),H233,F233)&lt;=0),"",IF(ISNUMBER(G233),H233,F233)))</f>
        <v/>
      </c>
      <c r="D234" s="22" t="str">
        <f aca="false">IF(C234="","",ROUND(C234*$C$8,2))</f>
        <v/>
      </c>
      <c r="E234" s="22" t="str">
        <f aca="false">IF(C234="","",ROUND(C234*$C$9,2))</f>
        <v/>
      </c>
      <c r="F234" s="22" t="str">
        <f aca="false">IF(C234="","",C234+D234)</f>
        <v/>
      </c>
      <c r="G234" s="23" t="str">
        <f aca="false">IF(OR(C234="",NOT(ISNUMBER(H234))),"",ROUND(H234-C234,2))</f>
        <v/>
      </c>
      <c r="H234" s="24"/>
      <c r="I234" s="25" t="str">
        <f aca="false">IF(C234="","",IF(ISNUMBER(G234),IF(G234&lt;-E234,"Actual – Loss (limit breached)",IF(G234&lt;0,"Actual – Loss",IF(G234&gt;0,"Actual – Profit","Actual – No trade"))),"Projection"))</f>
        <v/>
      </c>
      <c r="J234" s="26"/>
      <c r="K234" s="27"/>
    </row>
    <row r="235" customFormat="false" ht="15" hidden="false" customHeight="false" outlineLevel="0" collapsed="false">
      <c r="A235" s="20" t="str">
        <f aca="false">IF(C235="","",ROW()-12)</f>
        <v/>
      </c>
      <c r="B235" s="21" t="str">
        <f aca="false">IF(C235="","",WORKDAY($C$5-1,A235,'NSE Holidays'!$A$5:$A$64))</f>
        <v/>
      </c>
      <c r="C235" s="22" t="str">
        <f aca="false">IF(C234="","",IF(OR(IF(ISNUMBER(G234),H234,F234)&gt;=$C$7,IF(ISNUMBER(G234),H234,F234)&lt;=0),"",IF(ISNUMBER(G234),H234,F234)))</f>
        <v/>
      </c>
      <c r="D235" s="22" t="str">
        <f aca="false">IF(C235="","",ROUND(C235*$C$8,2))</f>
        <v/>
      </c>
      <c r="E235" s="22" t="str">
        <f aca="false">IF(C235="","",ROUND(C235*$C$9,2))</f>
        <v/>
      </c>
      <c r="F235" s="22" t="str">
        <f aca="false">IF(C235="","",C235+D235)</f>
        <v/>
      </c>
      <c r="G235" s="23" t="str">
        <f aca="false">IF(OR(C235="",NOT(ISNUMBER(H235))),"",ROUND(H235-C235,2))</f>
        <v/>
      </c>
      <c r="H235" s="24"/>
      <c r="I235" s="25" t="str">
        <f aca="false">IF(C235="","",IF(ISNUMBER(G235),IF(G235&lt;-E235,"Actual – Loss (limit breached)",IF(G235&lt;0,"Actual – Loss",IF(G235&gt;0,"Actual – Profit","Actual – No trade"))),"Projection"))</f>
        <v/>
      </c>
      <c r="J235" s="26"/>
      <c r="K235" s="27"/>
    </row>
    <row r="236" customFormat="false" ht="15" hidden="false" customHeight="false" outlineLevel="0" collapsed="false">
      <c r="A236" s="20" t="str">
        <f aca="false">IF(C236="","",ROW()-12)</f>
        <v/>
      </c>
      <c r="B236" s="21" t="str">
        <f aca="false">IF(C236="","",WORKDAY($C$5-1,A236,'NSE Holidays'!$A$5:$A$64))</f>
        <v/>
      </c>
      <c r="C236" s="22" t="str">
        <f aca="false">IF(C235="","",IF(OR(IF(ISNUMBER(G235),H235,F235)&gt;=$C$7,IF(ISNUMBER(G235),H235,F235)&lt;=0),"",IF(ISNUMBER(G235),H235,F235)))</f>
        <v/>
      </c>
      <c r="D236" s="22" t="str">
        <f aca="false">IF(C236="","",ROUND(C236*$C$8,2))</f>
        <v/>
      </c>
      <c r="E236" s="22" t="str">
        <f aca="false">IF(C236="","",ROUND(C236*$C$9,2))</f>
        <v/>
      </c>
      <c r="F236" s="22" t="str">
        <f aca="false">IF(C236="","",C236+D236)</f>
        <v/>
      </c>
      <c r="G236" s="23" t="str">
        <f aca="false">IF(OR(C236="",NOT(ISNUMBER(H236))),"",ROUND(H236-C236,2))</f>
        <v/>
      </c>
      <c r="H236" s="24"/>
      <c r="I236" s="25" t="str">
        <f aca="false">IF(C236="","",IF(ISNUMBER(G236),IF(G236&lt;-E236,"Actual – Loss (limit breached)",IF(G236&lt;0,"Actual – Loss",IF(G236&gt;0,"Actual – Profit","Actual – No trade"))),"Projection"))</f>
        <v/>
      </c>
      <c r="J236" s="26"/>
      <c r="K236" s="27"/>
    </row>
    <row r="237" customFormat="false" ht="15" hidden="false" customHeight="false" outlineLevel="0" collapsed="false">
      <c r="A237" s="20" t="str">
        <f aca="false">IF(C237="","",ROW()-12)</f>
        <v/>
      </c>
      <c r="B237" s="21" t="str">
        <f aca="false">IF(C237="","",WORKDAY($C$5-1,A237,'NSE Holidays'!$A$5:$A$64))</f>
        <v/>
      </c>
      <c r="C237" s="22" t="str">
        <f aca="false">IF(C236="","",IF(OR(IF(ISNUMBER(G236),H236,F236)&gt;=$C$7,IF(ISNUMBER(G236),H236,F236)&lt;=0),"",IF(ISNUMBER(G236),H236,F236)))</f>
        <v/>
      </c>
      <c r="D237" s="22" t="str">
        <f aca="false">IF(C237="","",ROUND(C237*$C$8,2))</f>
        <v/>
      </c>
      <c r="E237" s="22" t="str">
        <f aca="false">IF(C237="","",ROUND(C237*$C$9,2))</f>
        <v/>
      </c>
      <c r="F237" s="22" t="str">
        <f aca="false">IF(C237="","",C237+D237)</f>
        <v/>
      </c>
      <c r="G237" s="23" t="str">
        <f aca="false">IF(OR(C237="",NOT(ISNUMBER(H237))),"",ROUND(H237-C237,2))</f>
        <v/>
      </c>
      <c r="H237" s="24"/>
      <c r="I237" s="25" t="str">
        <f aca="false">IF(C237="","",IF(ISNUMBER(G237),IF(G237&lt;-E237,"Actual – Loss (limit breached)",IF(G237&lt;0,"Actual – Loss",IF(G237&gt;0,"Actual – Profit","Actual – No trade"))),"Projection"))</f>
        <v/>
      </c>
      <c r="J237" s="26"/>
      <c r="K237" s="27"/>
    </row>
    <row r="238" customFormat="false" ht="15" hidden="false" customHeight="false" outlineLevel="0" collapsed="false">
      <c r="A238" s="20" t="str">
        <f aca="false">IF(C238="","",ROW()-12)</f>
        <v/>
      </c>
      <c r="B238" s="21" t="str">
        <f aca="false">IF(C238="","",WORKDAY($C$5-1,A238,'NSE Holidays'!$A$5:$A$64))</f>
        <v/>
      </c>
      <c r="C238" s="22" t="str">
        <f aca="false">IF(C237="","",IF(OR(IF(ISNUMBER(G237),H237,F237)&gt;=$C$7,IF(ISNUMBER(G237),H237,F237)&lt;=0),"",IF(ISNUMBER(G237),H237,F237)))</f>
        <v/>
      </c>
      <c r="D238" s="22" t="str">
        <f aca="false">IF(C238="","",ROUND(C238*$C$8,2))</f>
        <v/>
      </c>
      <c r="E238" s="22" t="str">
        <f aca="false">IF(C238="","",ROUND(C238*$C$9,2))</f>
        <v/>
      </c>
      <c r="F238" s="22" t="str">
        <f aca="false">IF(C238="","",C238+D238)</f>
        <v/>
      </c>
      <c r="G238" s="23" t="str">
        <f aca="false">IF(OR(C238="",NOT(ISNUMBER(H238))),"",ROUND(H238-C238,2))</f>
        <v/>
      </c>
      <c r="H238" s="24"/>
      <c r="I238" s="25" t="str">
        <f aca="false">IF(C238="","",IF(ISNUMBER(G238),IF(G238&lt;-E238,"Actual – Loss (limit breached)",IF(G238&lt;0,"Actual – Loss",IF(G238&gt;0,"Actual – Profit","Actual – No trade"))),"Projection"))</f>
        <v/>
      </c>
      <c r="J238" s="26"/>
      <c r="K238" s="27"/>
    </row>
    <row r="239" customFormat="false" ht="15" hidden="false" customHeight="false" outlineLevel="0" collapsed="false">
      <c r="A239" s="20" t="str">
        <f aca="false">IF(C239="","",ROW()-12)</f>
        <v/>
      </c>
      <c r="B239" s="21" t="str">
        <f aca="false">IF(C239="","",WORKDAY($C$5-1,A239,'NSE Holidays'!$A$5:$A$64))</f>
        <v/>
      </c>
      <c r="C239" s="22" t="str">
        <f aca="false">IF(C238="","",IF(OR(IF(ISNUMBER(G238),H238,F238)&gt;=$C$7,IF(ISNUMBER(G238),H238,F238)&lt;=0),"",IF(ISNUMBER(G238),H238,F238)))</f>
        <v/>
      </c>
      <c r="D239" s="22" t="str">
        <f aca="false">IF(C239="","",ROUND(C239*$C$8,2))</f>
        <v/>
      </c>
      <c r="E239" s="22" t="str">
        <f aca="false">IF(C239="","",ROUND(C239*$C$9,2))</f>
        <v/>
      </c>
      <c r="F239" s="22" t="str">
        <f aca="false">IF(C239="","",C239+D239)</f>
        <v/>
      </c>
      <c r="G239" s="23" t="str">
        <f aca="false">IF(OR(C239="",NOT(ISNUMBER(H239))),"",ROUND(H239-C239,2))</f>
        <v/>
      </c>
      <c r="H239" s="24"/>
      <c r="I239" s="25" t="str">
        <f aca="false">IF(C239="","",IF(ISNUMBER(G239),IF(G239&lt;-E239,"Actual – Loss (limit breached)",IF(G239&lt;0,"Actual – Loss",IF(G239&gt;0,"Actual – Profit","Actual – No trade"))),"Projection"))</f>
        <v/>
      </c>
      <c r="J239" s="26"/>
      <c r="K239" s="27"/>
    </row>
    <row r="240" customFormat="false" ht="15" hidden="false" customHeight="false" outlineLevel="0" collapsed="false">
      <c r="A240" s="20" t="str">
        <f aca="false">IF(C240="","",ROW()-12)</f>
        <v/>
      </c>
      <c r="B240" s="21" t="str">
        <f aca="false">IF(C240="","",WORKDAY($C$5-1,A240,'NSE Holidays'!$A$5:$A$64))</f>
        <v/>
      </c>
      <c r="C240" s="22" t="str">
        <f aca="false">IF(C239="","",IF(OR(IF(ISNUMBER(G239),H239,F239)&gt;=$C$7,IF(ISNUMBER(G239),H239,F239)&lt;=0),"",IF(ISNUMBER(G239),H239,F239)))</f>
        <v/>
      </c>
      <c r="D240" s="22" t="str">
        <f aca="false">IF(C240="","",ROUND(C240*$C$8,2))</f>
        <v/>
      </c>
      <c r="E240" s="22" t="str">
        <f aca="false">IF(C240="","",ROUND(C240*$C$9,2))</f>
        <v/>
      </c>
      <c r="F240" s="22" t="str">
        <f aca="false">IF(C240="","",C240+D240)</f>
        <v/>
      </c>
      <c r="G240" s="23" t="str">
        <f aca="false">IF(OR(C240="",NOT(ISNUMBER(H240))),"",ROUND(H240-C240,2))</f>
        <v/>
      </c>
      <c r="H240" s="24"/>
      <c r="I240" s="25" t="str">
        <f aca="false">IF(C240="","",IF(ISNUMBER(G240),IF(G240&lt;-E240,"Actual – Loss (limit breached)",IF(G240&lt;0,"Actual – Loss",IF(G240&gt;0,"Actual – Profit","Actual – No trade"))),"Projection"))</f>
        <v/>
      </c>
      <c r="J240" s="26"/>
      <c r="K240" s="27"/>
    </row>
    <row r="241" customFormat="false" ht="15" hidden="false" customHeight="false" outlineLevel="0" collapsed="false">
      <c r="A241" s="20" t="str">
        <f aca="false">IF(C241="","",ROW()-12)</f>
        <v/>
      </c>
      <c r="B241" s="21" t="str">
        <f aca="false">IF(C241="","",WORKDAY($C$5-1,A241,'NSE Holidays'!$A$5:$A$64))</f>
        <v/>
      </c>
      <c r="C241" s="22" t="str">
        <f aca="false">IF(C240="","",IF(OR(IF(ISNUMBER(G240),H240,F240)&gt;=$C$7,IF(ISNUMBER(G240),H240,F240)&lt;=0),"",IF(ISNUMBER(G240),H240,F240)))</f>
        <v/>
      </c>
      <c r="D241" s="22" t="str">
        <f aca="false">IF(C241="","",ROUND(C241*$C$8,2))</f>
        <v/>
      </c>
      <c r="E241" s="22" t="str">
        <f aca="false">IF(C241="","",ROUND(C241*$C$9,2))</f>
        <v/>
      </c>
      <c r="F241" s="22" t="str">
        <f aca="false">IF(C241="","",C241+D241)</f>
        <v/>
      </c>
      <c r="G241" s="23" t="str">
        <f aca="false">IF(OR(C241="",NOT(ISNUMBER(H241))),"",ROUND(H241-C241,2))</f>
        <v/>
      </c>
      <c r="H241" s="24"/>
      <c r="I241" s="25" t="str">
        <f aca="false">IF(C241="","",IF(ISNUMBER(G241),IF(G241&lt;-E241,"Actual – Loss (limit breached)",IF(G241&lt;0,"Actual – Loss",IF(G241&gt;0,"Actual – Profit","Actual – No trade"))),"Projection"))</f>
        <v/>
      </c>
      <c r="J241" s="26"/>
      <c r="K241" s="27"/>
    </row>
    <row r="242" customFormat="false" ht="15" hidden="false" customHeight="false" outlineLevel="0" collapsed="false">
      <c r="A242" s="20" t="str">
        <f aca="false">IF(C242="","",ROW()-12)</f>
        <v/>
      </c>
      <c r="B242" s="21" t="str">
        <f aca="false">IF(C242="","",WORKDAY($C$5-1,A242,'NSE Holidays'!$A$5:$A$64))</f>
        <v/>
      </c>
      <c r="C242" s="22" t="str">
        <f aca="false">IF(C241="","",IF(OR(IF(ISNUMBER(G241),H241,F241)&gt;=$C$7,IF(ISNUMBER(G241),H241,F241)&lt;=0),"",IF(ISNUMBER(G241),H241,F241)))</f>
        <v/>
      </c>
      <c r="D242" s="22" t="str">
        <f aca="false">IF(C242="","",ROUND(C242*$C$8,2))</f>
        <v/>
      </c>
      <c r="E242" s="22" t="str">
        <f aca="false">IF(C242="","",ROUND(C242*$C$9,2))</f>
        <v/>
      </c>
      <c r="F242" s="22" t="str">
        <f aca="false">IF(C242="","",C242+D242)</f>
        <v/>
      </c>
      <c r="G242" s="23" t="str">
        <f aca="false">IF(OR(C242="",NOT(ISNUMBER(H242))),"",ROUND(H242-C242,2))</f>
        <v/>
      </c>
      <c r="H242" s="24"/>
      <c r="I242" s="25" t="str">
        <f aca="false">IF(C242="","",IF(ISNUMBER(G242),IF(G242&lt;-E242,"Actual – Loss (limit breached)",IF(G242&lt;0,"Actual – Loss",IF(G242&gt;0,"Actual – Profit","Actual – No trade"))),"Projection"))</f>
        <v/>
      </c>
      <c r="J242" s="26"/>
      <c r="K242" s="27"/>
    </row>
    <row r="243" customFormat="false" ht="15" hidden="false" customHeight="false" outlineLevel="0" collapsed="false">
      <c r="A243" s="20" t="str">
        <f aca="false">IF(C243="","",ROW()-12)</f>
        <v/>
      </c>
      <c r="B243" s="21" t="str">
        <f aca="false">IF(C243="","",WORKDAY($C$5-1,A243,'NSE Holidays'!$A$5:$A$64))</f>
        <v/>
      </c>
      <c r="C243" s="22" t="str">
        <f aca="false">IF(C242="","",IF(OR(IF(ISNUMBER(G242),H242,F242)&gt;=$C$7,IF(ISNUMBER(G242),H242,F242)&lt;=0),"",IF(ISNUMBER(G242),H242,F242)))</f>
        <v/>
      </c>
      <c r="D243" s="22" t="str">
        <f aca="false">IF(C243="","",ROUND(C243*$C$8,2))</f>
        <v/>
      </c>
      <c r="E243" s="22" t="str">
        <f aca="false">IF(C243="","",ROUND(C243*$C$9,2))</f>
        <v/>
      </c>
      <c r="F243" s="22" t="str">
        <f aca="false">IF(C243="","",C243+D243)</f>
        <v/>
      </c>
      <c r="G243" s="23" t="str">
        <f aca="false">IF(OR(C243="",NOT(ISNUMBER(H243))),"",ROUND(H243-C243,2))</f>
        <v/>
      </c>
      <c r="H243" s="24"/>
      <c r="I243" s="25" t="str">
        <f aca="false">IF(C243="","",IF(ISNUMBER(G243),IF(G243&lt;-E243,"Actual – Loss (limit breached)",IF(G243&lt;0,"Actual – Loss",IF(G243&gt;0,"Actual – Profit","Actual – No trade"))),"Projection"))</f>
        <v/>
      </c>
      <c r="J243" s="26"/>
      <c r="K243" s="27"/>
    </row>
    <row r="244" customFormat="false" ht="15" hidden="false" customHeight="false" outlineLevel="0" collapsed="false">
      <c r="A244" s="20" t="str">
        <f aca="false">IF(C244="","",ROW()-12)</f>
        <v/>
      </c>
      <c r="B244" s="21" t="str">
        <f aca="false">IF(C244="","",WORKDAY($C$5-1,A244,'NSE Holidays'!$A$5:$A$64))</f>
        <v/>
      </c>
      <c r="C244" s="22" t="str">
        <f aca="false">IF(C243="","",IF(OR(IF(ISNUMBER(G243),H243,F243)&gt;=$C$7,IF(ISNUMBER(G243),H243,F243)&lt;=0),"",IF(ISNUMBER(G243),H243,F243)))</f>
        <v/>
      </c>
      <c r="D244" s="22" t="str">
        <f aca="false">IF(C244="","",ROUND(C244*$C$8,2))</f>
        <v/>
      </c>
      <c r="E244" s="22" t="str">
        <f aca="false">IF(C244="","",ROUND(C244*$C$9,2))</f>
        <v/>
      </c>
      <c r="F244" s="22" t="str">
        <f aca="false">IF(C244="","",C244+D244)</f>
        <v/>
      </c>
      <c r="G244" s="23" t="str">
        <f aca="false">IF(OR(C244="",NOT(ISNUMBER(H244))),"",ROUND(H244-C244,2))</f>
        <v/>
      </c>
      <c r="H244" s="24"/>
      <c r="I244" s="25" t="str">
        <f aca="false">IF(C244="","",IF(ISNUMBER(G244),IF(G244&lt;-E244,"Actual – Loss (limit breached)",IF(G244&lt;0,"Actual – Loss",IF(G244&gt;0,"Actual – Profit","Actual – No trade"))),"Projection"))</f>
        <v/>
      </c>
      <c r="J244" s="26"/>
      <c r="K244" s="27"/>
    </row>
    <row r="245" customFormat="false" ht="15" hidden="false" customHeight="false" outlineLevel="0" collapsed="false">
      <c r="A245" s="20" t="str">
        <f aca="false">IF(C245="","",ROW()-12)</f>
        <v/>
      </c>
      <c r="B245" s="21" t="str">
        <f aca="false">IF(C245="","",WORKDAY($C$5-1,A245,'NSE Holidays'!$A$5:$A$64))</f>
        <v/>
      </c>
      <c r="C245" s="22" t="str">
        <f aca="false">IF(C244="","",IF(OR(IF(ISNUMBER(G244),H244,F244)&gt;=$C$7,IF(ISNUMBER(G244),H244,F244)&lt;=0),"",IF(ISNUMBER(G244),H244,F244)))</f>
        <v/>
      </c>
      <c r="D245" s="22" t="str">
        <f aca="false">IF(C245="","",ROUND(C245*$C$8,2))</f>
        <v/>
      </c>
      <c r="E245" s="22" t="str">
        <f aca="false">IF(C245="","",ROUND(C245*$C$9,2))</f>
        <v/>
      </c>
      <c r="F245" s="22" t="str">
        <f aca="false">IF(C245="","",C245+D245)</f>
        <v/>
      </c>
      <c r="G245" s="23" t="str">
        <f aca="false">IF(OR(C245="",NOT(ISNUMBER(H245))),"",ROUND(H245-C245,2))</f>
        <v/>
      </c>
      <c r="H245" s="24"/>
      <c r="I245" s="25" t="str">
        <f aca="false">IF(C245="","",IF(ISNUMBER(G245),IF(G245&lt;-E245,"Actual – Loss (limit breached)",IF(G245&lt;0,"Actual – Loss",IF(G245&gt;0,"Actual – Profit","Actual – No trade"))),"Projection"))</f>
        <v/>
      </c>
      <c r="J245" s="26"/>
      <c r="K245" s="27"/>
    </row>
    <row r="246" customFormat="false" ht="15" hidden="false" customHeight="false" outlineLevel="0" collapsed="false">
      <c r="A246" s="20" t="str">
        <f aca="false">IF(C246="","",ROW()-12)</f>
        <v/>
      </c>
      <c r="B246" s="21" t="str">
        <f aca="false">IF(C246="","",WORKDAY($C$5-1,A246,'NSE Holidays'!$A$5:$A$64))</f>
        <v/>
      </c>
      <c r="C246" s="22" t="str">
        <f aca="false">IF(C245="","",IF(OR(IF(ISNUMBER(G245),H245,F245)&gt;=$C$7,IF(ISNUMBER(G245),H245,F245)&lt;=0),"",IF(ISNUMBER(G245),H245,F245)))</f>
        <v/>
      </c>
      <c r="D246" s="22" t="str">
        <f aca="false">IF(C246="","",ROUND(C246*$C$8,2))</f>
        <v/>
      </c>
      <c r="E246" s="22" t="str">
        <f aca="false">IF(C246="","",ROUND(C246*$C$9,2))</f>
        <v/>
      </c>
      <c r="F246" s="22" t="str">
        <f aca="false">IF(C246="","",C246+D246)</f>
        <v/>
      </c>
      <c r="G246" s="23" t="str">
        <f aca="false">IF(OR(C246="",NOT(ISNUMBER(H246))),"",ROUND(H246-C246,2))</f>
        <v/>
      </c>
      <c r="H246" s="24"/>
      <c r="I246" s="25" t="str">
        <f aca="false">IF(C246="","",IF(ISNUMBER(G246),IF(G246&lt;-E246,"Actual – Loss (limit breached)",IF(G246&lt;0,"Actual – Loss",IF(G246&gt;0,"Actual – Profit","Actual – No trade"))),"Projection"))</f>
        <v/>
      </c>
      <c r="J246" s="26"/>
      <c r="K246" s="27"/>
    </row>
    <row r="247" customFormat="false" ht="15" hidden="false" customHeight="false" outlineLevel="0" collapsed="false">
      <c r="A247" s="20" t="str">
        <f aca="false">IF(C247="","",ROW()-12)</f>
        <v/>
      </c>
      <c r="B247" s="21" t="str">
        <f aca="false">IF(C247="","",WORKDAY($C$5-1,A247,'NSE Holidays'!$A$5:$A$64))</f>
        <v/>
      </c>
      <c r="C247" s="22" t="str">
        <f aca="false">IF(C246="","",IF(OR(IF(ISNUMBER(G246),H246,F246)&gt;=$C$7,IF(ISNUMBER(G246),H246,F246)&lt;=0),"",IF(ISNUMBER(G246),H246,F246)))</f>
        <v/>
      </c>
      <c r="D247" s="22" t="str">
        <f aca="false">IF(C247="","",ROUND(C247*$C$8,2))</f>
        <v/>
      </c>
      <c r="E247" s="22" t="str">
        <f aca="false">IF(C247="","",ROUND(C247*$C$9,2))</f>
        <v/>
      </c>
      <c r="F247" s="22" t="str">
        <f aca="false">IF(C247="","",C247+D247)</f>
        <v/>
      </c>
      <c r="G247" s="23" t="str">
        <f aca="false">IF(OR(C247="",NOT(ISNUMBER(H247))),"",ROUND(H247-C247,2))</f>
        <v/>
      </c>
      <c r="H247" s="24"/>
      <c r="I247" s="25" t="str">
        <f aca="false">IF(C247="","",IF(ISNUMBER(G247),IF(G247&lt;-E247,"Actual – Loss (limit breached)",IF(G247&lt;0,"Actual – Loss",IF(G247&gt;0,"Actual – Profit","Actual – No trade"))),"Projection"))</f>
        <v/>
      </c>
      <c r="J247" s="26"/>
      <c r="K247" s="27"/>
    </row>
    <row r="248" customFormat="false" ht="15" hidden="false" customHeight="false" outlineLevel="0" collapsed="false">
      <c r="A248" s="20" t="str">
        <f aca="false">IF(C248="","",ROW()-12)</f>
        <v/>
      </c>
      <c r="B248" s="21" t="str">
        <f aca="false">IF(C248="","",WORKDAY($C$5-1,A248,'NSE Holidays'!$A$5:$A$64))</f>
        <v/>
      </c>
      <c r="C248" s="22" t="str">
        <f aca="false">IF(C247="","",IF(OR(IF(ISNUMBER(G247),H247,F247)&gt;=$C$7,IF(ISNUMBER(G247),H247,F247)&lt;=0),"",IF(ISNUMBER(G247),H247,F247)))</f>
        <v/>
      </c>
      <c r="D248" s="22" t="str">
        <f aca="false">IF(C248="","",ROUND(C248*$C$8,2))</f>
        <v/>
      </c>
      <c r="E248" s="22" t="str">
        <f aca="false">IF(C248="","",ROUND(C248*$C$9,2))</f>
        <v/>
      </c>
      <c r="F248" s="22" t="str">
        <f aca="false">IF(C248="","",C248+D248)</f>
        <v/>
      </c>
      <c r="G248" s="23" t="str">
        <f aca="false">IF(OR(C248="",NOT(ISNUMBER(H248))),"",ROUND(H248-C248,2))</f>
        <v/>
      </c>
      <c r="H248" s="24"/>
      <c r="I248" s="25" t="str">
        <f aca="false">IF(C248="","",IF(ISNUMBER(G248),IF(G248&lt;-E248,"Actual – Loss (limit breached)",IF(G248&lt;0,"Actual – Loss",IF(G248&gt;0,"Actual – Profit","Actual – No trade"))),"Projection"))</f>
        <v/>
      </c>
      <c r="J248" s="26"/>
      <c r="K248" s="27"/>
    </row>
    <row r="249" customFormat="false" ht="15" hidden="false" customHeight="false" outlineLevel="0" collapsed="false">
      <c r="A249" s="20" t="str">
        <f aca="false">IF(C249="","",ROW()-12)</f>
        <v/>
      </c>
      <c r="B249" s="21" t="str">
        <f aca="false">IF(C249="","",WORKDAY($C$5-1,A249,'NSE Holidays'!$A$5:$A$64))</f>
        <v/>
      </c>
      <c r="C249" s="22" t="str">
        <f aca="false">IF(C248="","",IF(OR(IF(ISNUMBER(G248),H248,F248)&gt;=$C$7,IF(ISNUMBER(G248),H248,F248)&lt;=0),"",IF(ISNUMBER(G248),H248,F248)))</f>
        <v/>
      </c>
      <c r="D249" s="22" t="str">
        <f aca="false">IF(C249="","",ROUND(C249*$C$8,2))</f>
        <v/>
      </c>
      <c r="E249" s="22" t="str">
        <f aca="false">IF(C249="","",ROUND(C249*$C$9,2))</f>
        <v/>
      </c>
      <c r="F249" s="22" t="str">
        <f aca="false">IF(C249="","",C249+D249)</f>
        <v/>
      </c>
      <c r="G249" s="23" t="str">
        <f aca="false">IF(OR(C249="",NOT(ISNUMBER(H249))),"",ROUND(H249-C249,2))</f>
        <v/>
      </c>
      <c r="H249" s="24"/>
      <c r="I249" s="25" t="str">
        <f aca="false">IF(C249="","",IF(ISNUMBER(G249),IF(G249&lt;-E249,"Actual – Loss (limit breached)",IF(G249&lt;0,"Actual – Loss",IF(G249&gt;0,"Actual – Profit","Actual – No trade"))),"Projection"))</f>
        <v/>
      </c>
      <c r="J249" s="26"/>
      <c r="K249" s="27"/>
    </row>
    <row r="250" customFormat="false" ht="15" hidden="false" customHeight="false" outlineLevel="0" collapsed="false">
      <c r="A250" s="20" t="str">
        <f aca="false">IF(C250="","",ROW()-12)</f>
        <v/>
      </c>
      <c r="B250" s="21" t="str">
        <f aca="false">IF(C250="","",WORKDAY($C$5-1,A250,'NSE Holidays'!$A$5:$A$64))</f>
        <v/>
      </c>
      <c r="C250" s="22" t="str">
        <f aca="false">IF(C249="","",IF(OR(IF(ISNUMBER(G249),H249,F249)&gt;=$C$7,IF(ISNUMBER(G249),H249,F249)&lt;=0),"",IF(ISNUMBER(G249),H249,F249)))</f>
        <v/>
      </c>
      <c r="D250" s="22" t="str">
        <f aca="false">IF(C250="","",ROUND(C250*$C$8,2))</f>
        <v/>
      </c>
      <c r="E250" s="22" t="str">
        <f aca="false">IF(C250="","",ROUND(C250*$C$9,2))</f>
        <v/>
      </c>
      <c r="F250" s="22" t="str">
        <f aca="false">IF(C250="","",C250+D250)</f>
        <v/>
      </c>
      <c r="G250" s="23" t="str">
        <f aca="false">IF(OR(C250="",NOT(ISNUMBER(H250))),"",ROUND(H250-C250,2))</f>
        <v/>
      </c>
      <c r="H250" s="24"/>
      <c r="I250" s="25" t="str">
        <f aca="false">IF(C250="","",IF(ISNUMBER(G250),IF(G250&lt;-E250,"Actual – Loss (limit breached)",IF(G250&lt;0,"Actual – Loss",IF(G250&gt;0,"Actual – Profit","Actual – No trade"))),"Projection"))</f>
        <v/>
      </c>
      <c r="J250" s="26"/>
      <c r="K250" s="27"/>
    </row>
    <row r="251" customFormat="false" ht="15" hidden="false" customHeight="false" outlineLevel="0" collapsed="false">
      <c r="A251" s="20" t="str">
        <f aca="false">IF(C251="","",ROW()-12)</f>
        <v/>
      </c>
      <c r="B251" s="21" t="str">
        <f aca="false">IF(C251="","",WORKDAY($C$5-1,A251,'NSE Holidays'!$A$5:$A$64))</f>
        <v/>
      </c>
      <c r="C251" s="22" t="str">
        <f aca="false">IF(C250="","",IF(OR(IF(ISNUMBER(G250),H250,F250)&gt;=$C$7,IF(ISNUMBER(G250),H250,F250)&lt;=0),"",IF(ISNUMBER(G250),H250,F250)))</f>
        <v/>
      </c>
      <c r="D251" s="22" t="str">
        <f aca="false">IF(C251="","",ROUND(C251*$C$8,2))</f>
        <v/>
      </c>
      <c r="E251" s="22" t="str">
        <f aca="false">IF(C251="","",ROUND(C251*$C$9,2))</f>
        <v/>
      </c>
      <c r="F251" s="22" t="str">
        <f aca="false">IF(C251="","",C251+D251)</f>
        <v/>
      </c>
      <c r="G251" s="23" t="str">
        <f aca="false">IF(OR(C251="",NOT(ISNUMBER(H251))),"",ROUND(H251-C251,2))</f>
        <v/>
      </c>
      <c r="H251" s="24"/>
      <c r="I251" s="25" t="str">
        <f aca="false">IF(C251="","",IF(ISNUMBER(G251),IF(G251&lt;-E251,"Actual – Loss (limit breached)",IF(G251&lt;0,"Actual – Loss",IF(G251&gt;0,"Actual – Profit","Actual – No trade"))),"Projection"))</f>
        <v/>
      </c>
      <c r="J251" s="26"/>
      <c r="K251" s="27"/>
    </row>
    <row r="252" customFormat="false" ht="15" hidden="false" customHeight="false" outlineLevel="0" collapsed="false">
      <c r="A252" s="20" t="str">
        <f aca="false">IF(C252="","",ROW()-12)</f>
        <v/>
      </c>
      <c r="B252" s="21" t="str">
        <f aca="false">IF(C252="","",WORKDAY($C$5-1,A252,'NSE Holidays'!$A$5:$A$64))</f>
        <v/>
      </c>
      <c r="C252" s="22" t="str">
        <f aca="false">IF(C251="","",IF(OR(IF(ISNUMBER(G251),H251,F251)&gt;=$C$7,IF(ISNUMBER(G251),H251,F251)&lt;=0),"",IF(ISNUMBER(G251),H251,F251)))</f>
        <v/>
      </c>
      <c r="D252" s="22" t="str">
        <f aca="false">IF(C252="","",ROUND(C252*$C$8,2))</f>
        <v/>
      </c>
      <c r="E252" s="22" t="str">
        <f aca="false">IF(C252="","",ROUND(C252*$C$9,2))</f>
        <v/>
      </c>
      <c r="F252" s="22" t="str">
        <f aca="false">IF(C252="","",C252+D252)</f>
        <v/>
      </c>
      <c r="G252" s="23" t="str">
        <f aca="false">IF(OR(C252="",NOT(ISNUMBER(H252))),"",ROUND(H252-C252,2))</f>
        <v/>
      </c>
      <c r="H252" s="24"/>
      <c r="I252" s="25" t="str">
        <f aca="false">IF(C252="","",IF(ISNUMBER(G252),IF(G252&lt;-E252,"Actual – Loss (limit breached)",IF(G252&lt;0,"Actual – Loss",IF(G252&gt;0,"Actual – Profit","Actual – No trade"))),"Projection"))</f>
        <v/>
      </c>
      <c r="J252" s="26"/>
      <c r="K252" s="27"/>
    </row>
    <row r="253" customFormat="false" ht="15" hidden="false" customHeight="false" outlineLevel="0" collapsed="false">
      <c r="A253" s="20" t="str">
        <f aca="false">IF(C253="","",ROW()-12)</f>
        <v/>
      </c>
      <c r="B253" s="21" t="str">
        <f aca="false">IF(C253="","",WORKDAY($C$5-1,A253,'NSE Holidays'!$A$5:$A$64))</f>
        <v/>
      </c>
      <c r="C253" s="22" t="str">
        <f aca="false">IF(C252="","",IF(OR(IF(ISNUMBER(G252),H252,F252)&gt;=$C$7,IF(ISNUMBER(G252),H252,F252)&lt;=0),"",IF(ISNUMBER(G252),H252,F252)))</f>
        <v/>
      </c>
      <c r="D253" s="22" t="str">
        <f aca="false">IF(C253="","",ROUND(C253*$C$8,2))</f>
        <v/>
      </c>
      <c r="E253" s="22" t="str">
        <f aca="false">IF(C253="","",ROUND(C253*$C$9,2))</f>
        <v/>
      </c>
      <c r="F253" s="22" t="str">
        <f aca="false">IF(C253="","",C253+D253)</f>
        <v/>
      </c>
      <c r="G253" s="23" t="str">
        <f aca="false">IF(OR(C253="",NOT(ISNUMBER(H253))),"",ROUND(H253-C253,2))</f>
        <v/>
      </c>
      <c r="H253" s="24"/>
      <c r="I253" s="25" t="str">
        <f aca="false">IF(C253="","",IF(ISNUMBER(G253),IF(G253&lt;-E253,"Actual – Loss (limit breached)",IF(G253&lt;0,"Actual – Loss",IF(G253&gt;0,"Actual – Profit","Actual – No trade"))),"Projection"))</f>
        <v/>
      </c>
      <c r="J253" s="26"/>
      <c r="K253" s="27"/>
    </row>
    <row r="254" customFormat="false" ht="15" hidden="false" customHeight="false" outlineLevel="0" collapsed="false">
      <c r="A254" s="20" t="str">
        <f aca="false">IF(C254="","",ROW()-12)</f>
        <v/>
      </c>
      <c r="B254" s="21" t="str">
        <f aca="false">IF(C254="","",WORKDAY($C$5-1,A254,'NSE Holidays'!$A$5:$A$64))</f>
        <v/>
      </c>
      <c r="C254" s="22" t="str">
        <f aca="false">IF(C253="","",IF(OR(IF(ISNUMBER(G253),H253,F253)&gt;=$C$7,IF(ISNUMBER(G253),H253,F253)&lt;=0),"",IF(ISNUMBER(G253),H253,F253)))</f>
        <v/>
      </c>
      <c r="D254" s="22" t="str">
        <f aca="false">IF(C254="","",ROUND(C254*$C$8,2))</f>
        <v/>
      </c>
      <c r="E254" s="22" t="str">
        <f aca="false">IF(C254="","",ROUND(C254*$C$9,2))</f>
        <v/>
      </c>
      <c r="F254" s="22" t="str">
        <f aca="false">IF(C254="","",C254+D254)</f>
        <v/>
      </c>
      <c r="G254" s="23" t="str">
        <f aca="false">IF(OR(C254="",NOT(ISNUMBER(H254))),"",ROUND(H254-C254,2))</f>
        <v/>
      </c>
      <c r="H254" s="24"/>
      <c r="I254" s="25" t="str">
        <f aca="false">IF(C254="","",IF(ISNUMBER(G254),IF(G254&lt;-E254,"Actual – Loss (limit breached)",IF(G254&lt;0,"Actual – Loss",IF(G254&gt;0,"Actual – Profit","Actual – No trade"))),"Projection"))</f>
        <v/>
      </c>
      <c r="J254" s="26"/>
      <c r="K254" s="27"/>
    </row>
    <row r="255" customFormat="false" ht="15" hidden="false" customHeight="false" outlineLevel="0" collapsed="false">
      <c r="A255" s="20" t="str">
        <f aca="false">IF(C255="","",ROW()-12)</f>
        <v/>
      </c>
      <c r="B255" s="21" t="str">
        <f aca="false">IF(C255="","",WORKDAY($C$5-1,A255,'NSE Holidays'!$A$5:$A$64))</f>
        <v/>
      </c>
      <c r="C255" s="22" t="str">
        <f aca="false">IF(C254="","",IF(OR(IF(ISNUMBER(G254),H254,F254)&gt;=$C$7,IF(ISNUMBER(G254),H254,F254)&lt;=0),"",IF(ISNUMBER(G254),H254,F254)))</f>
        <v/>
      </c>
      <c r="D255" s="22" t="str">
        <f aca="false">IF(C255="","",ROUND(C255*$C$8,2))</f>
        <v/>
      </c>
      <c r="E255" s="22" t="str">
        <f aca="false">IF(C255="","",ROUND(C255*$C$9,2))</f>
        <v/>
      </c>
      <c r="F255" s="22" t="str">
        <f aca="false">IF(C255="","",C255+D255)</f>
        <v/>
      </c>
      <c r="G255" s="23" t="str">
        <f aca="false">IF(OR(C255="",NOT(ISNUMBER(H255))),"",ROUND(H255-C255,2))</f>
        <v/>
      </c>
      <c r="H255" s="24"/>
      <c r="I255" s="25" t="str">
        <f aca="false">IF(C255="","",IF(ISNUMBER(G255),IF(G255&lt;-E255,"Actual – Loss (limit breached)",IF(G255&lt;0,"Actual – Loss",IF(G255&gt;0,"Actual – Profit","Actual – No trade"))),"Projection"))</f>
        <v/>
      </c>
      <c r="J255" s="26"/>
      <c r="K255" s="27"/>
    </row>
    <row r="256" customFormat="false" ht="15" hidden="false" customHeight="false" outlineLevel="0" collapsed="false">
      <c r="A256" s="20" t="str">
        <f aca="false">IF(C256="","",ROW()-12)</f>
        <v/>
      </c>
      <c r="B256" s="21" t="str">
        <f aca="false">IF(C256="","",WORKDAY($C$5-1,A256,'NSE Holidays'!$A$5:$A$64))</f>
        <v/>
      </c>
      <c r="C256" s="22" t="str">
        <f aca="false">IF(C255="","",IF(OR(IF(ISNUMBER(G255),H255,F255)&gt;=$C$7,IF(ISNUMBER(G255),H255,F255)&lt;=0),"",IF(ISNUMBER(G255),H255,F255)))</f>
        <v/>
      </c>
      <c r="D256" s="22" t="str">
        <f aca="false">IF(C256="","",ROUND(C256*$C$8,2))</f>
        <v/>
      </c>
      <c r="E256" s="22" t="str">
        <f aca="false">IF(C256="","",ROUND(C256*$C$9,2))</f>
        <v/>
      </c>
      <c r="F256" s="22" t="str">
        <f aca="false">IF(C256="","",C256+D256)</f>
        <v/>
      </c>
      <c r="G256" s="23" t="str">
        <f aca="false">IF(OR(C256="",NOT(ISNUMBER(H256))),"",ROUND(H256-C256,2))</f>
        <v/>
      </c>
      <c r="H256" s="24"/>
      <c r="I256" s="25" t="str">
        <f aca="false">IF(C256="","",IF(ISNUMBER(G256),IF(G256&lt;-E256,"Actual – Loss (limit breached)",IF(G256&lt;0,"Actual – Loss",IF(G256&gt;0,"Actual – Profit","Actual – No trade"))),"Projection"))</f>
        <v/>
      </c>
      <c r="J256" s="26"/>
      <c r="K256" s="27"/>
    </row>
    <row r="257" customFormat="false" ht="15" hidden="false" customHeight="false" outlineLevel="0" collapsed="false">
      <c r="A257" s="20" t="str">
        <f aca="false">IF(C257="","",ROW()-12)</f>
        <v/>
      </c>
      <c r="B257" s="21" t="str">
        <f aca="false">IF(C257="","",WORKDAY($C$5-1,A257,'NSE Holidays'!$A$5:$A$64))</f>
        <v/>
      </c>
      <c r="C257" s="22" t="str">
        <f aca="false">IF(C256="","",IF(OR(IF(ISNUMBER(G256),H256,F256)&gt;=$C$7,IF(ISNUMBER(G256),H256,F256)&lt;=0),"",IF(ISNUMBER(G256),H256,F256)))</f>
        <v/>
      </c>
      <c r="D257" s="22" t="str">
        <f aca="false">IF(C257="","",ROUND(C257*$C$8,2))</f>
        <v/>
      </c>
      <c r="E257" s="22" t="str">
        <f aca="false">IF(C257="","",ROUND(C257*$C$9,2))</f>
        <v/>
      </c>
      <c r="F257" s="22" t="str">
        <f aca="false">IF(C257="","",C257+D257)</f>
        <v/>
      </c>
      <c r="G257" s="23" t="str">
        <f aca="false">IF(OR(C257="",NOT(ISNUMBER(H257))),"",ROUND(H257-C257,2))</f>
        <v/>
      </c>
      <c r="H257" s="24"/>
      <c r="I257" s="25" t="str">
        <f aca="false">IF(C257="","",IF(ISNUMBER(G257),IF(G257&lt;-E257,"Actual – Loss (limit breached)",IF(G257&lt;0,"Actual – Loss",IF(G257&gt;0,"Actual – Profit","Actual – No trade"))),"Projection"))</f>
        <v/>
      </c>
      <c r="J257" s="26"/>
      <c r="K257" s="27"/>
    </row>
    <row r="258" customFormat="false" ht="15" hidden="false" customHeight="false" outlineLevel="0" collapsed="false">
      <c r="A258" s="20" t="str">
        <f aca="false">IF(C258="","",ROW()-12)</f>
        <v/>
      </c>
      <c r="B258" s="21" t="str">
        <f aca="false">IF(C258="","",WORKDAY($C$5-1,A258,'NSE Holidays'!$A$5:$A$64))</f>
        <v/>
      </c>
      <c r="C258" s="22" t="str">
        <f aca="false">IF(C257="","",IF(OR(IF(ISNUMBER(G257),H257,F257)&gt;=$C$7,IF(ISNUMBER(G257),H257,F257)&lt;=0),"",IF(ISNUMBER(G257),H257,F257)))</f>
        <v/>
      </c>
      <c r="D258" s="22" t="str">
        <f aca="false">IF(C258="","",ROUND(C258*$C$8,2))</f>
        <v/>
      </c>
      <c r="E258" s="22" t="str">
        <f aca="false">IF(C258="","",ROUND(C258*$C$9,2))</f>
        <v/>
      </c>
      <c r="F258" s="22" t="str">
        <f aca="false">IF(C258="","",C258+D258)</f>
        <v/>
      </c>
      <c r="G258" s="23" t="str">
        <f aca="false">IF(OR(C258="",NOT(ISNUMBER(H258))),"",ROUND(H258-C258,2))</f>
        <v/>
      </c>
      <c r="H258" s="24"/>
      <c r="I258" s="25" t="str">
        <f aca="false">IF(C258="","",IF(ISNUMBER(G258),IF(G258&lt;-E258,"Actual – Loss (limit breached)",IF(G258&lt;0,"Actual – Loss",IF(G258&gt;0,"Actual – Profit","Actual – No trade"))),"Projection"))</f>
        <v/>
      </c>
      <c r="J258" s="26"/>
      <c r="K258" s="27"/>
    </row>
    <row r="259" customFormat="false" ht="15" hidden="false" customHeight="false" outlineLevel="0" collapsed="false">
      <c r="A259" s="20" t="str">
        <f aca="false">IF(C259="","",ROW()-12)</f>
        <v/>
      </c>
      <c r="B259" s="21" t="str">
        <f aca="false">IF(C259="","",WORKDAY($C$5-1,A259,'NSE Holidays'!$A$5:$A$64))</f>
        <v/>
      </c>
      <c r="C259" s="22" t="str">
        <f aca="false">IF(C258="","",IF(OR(IF(ISNUMBER(G258),H258,F258)&gt;=$C$7,IF(ISNUMBER(G258),H258,F258)&lt;=0),"",IF(ISNUMBER(G258),H258,F258)))</f>
        <v/>
      </c>
      <c r="D259" s="22" t="str">
        <f aca="false">IF(C259="","",ROUND(C259*$C$8,2))</f>
        <v/>
      </c>
      <c r="E259" s="22" t="str">
        <f aca="false">IF(C259="","",ROUND(C259*$C$9,2))</f>
        <v/>
      </c>
      <c r="F259" s="22" t="str">
        <f aca="false">IF(C259="","",C259+D259)</f>
        <v/>
      </c>
      <c r="G259" s="23" t="str">
        <f aca="false">IF(OR(C259="",NOT(ISNUMBER(H259))),"",ROUND(H259-C259,2))</f>
        <v/>
      </c>
      <c r="H259" s="24"/>
      <c r="I259" s="25" t="str">
        <f aca="false">IF(C259="","",IF(ISNUMBER(G259),IF(G259&lt;-E259,"Actual – Loss (limit breached)",IF(G259&lt;0,"Actual – Loss",IF(G259&gt;0,"Actual – Profit","Actual – No trade"))),"Projection"))</f>
        <v/>
      </c>
      <c r="J259" s="26"/>
      <c r="K259" s="27"/>
    </row>
    <row r="260" customFormat="false" ht="15" hidden="false" customHeight="false" outlineLevel="0" collapsed="false">
      <c r="A260" s="20" t="str">
        <f aca="false">IF(C260="","",ROW()-12)</f>
        <v/>
      </c>
      <c r="B260" s="21" t="str">
        <f aca="false">IF(C260="","",WORKDAY($C$5-1,A260,'NSE Holidays'!$A$5:$A$64))</f>
        <v/>
      </c>
      <c r="C260" s="22" t="str">
        <f aca="false">IF(C259="","",IF(OR(IF(ISNUMBER(G259),H259,F259)&gt;=$C$7,IF(ISNUMBER(G259),H259,F259)&lt;=0),"",IF(ISNUMBER(G259),H259,F259)))</f>
        <v/>
      </c>
      <c r="D260" s="22" t="str">
        <f aca="false">IF(C260="","",ROUND(C260*$C$8,2))</f>
        <v/>
      </c>
      <c r="E260" s="22" t="str">
        <f aca="false">IF(C260="","",ROUND(C260*$C$9,2))</f>
        <v/>
      </c>
      <c r="F260" s="22" t="str">
        <f aca="false">IF(C260="","",C260+D260)</f>
        <v/>
      </c>
      <c r="G260" s="23" t="str">
        <f aca="false">IF(OR(C260="",NOT(ISNUMBER(H260))),"",ROUND(H260-C260,2))</f>
        <v/>
      </c>
      <c r="H260" s="24"/>
      <c r="I260" s="25" t="str">
        <f aca="false">IF(C260="","",IF(ISNUMBER(G260),IF(G260&lt;-E260,"Actual – Loss (limit breached)",IF(G260&lt;0,"Actual – Loss",IF(G260&gt;0,"Actual – Profit","Actual – No trade"))),"Projection"))</f>
        <v/>
      </c>
      <c r="J260" s="26"/>
      <c r="K260" s="27"/>
    </row>
    <row r="261" customFormat="false" ht="15" hidden="false" customHeight="false" outlineLevel="0" collapsed="false">
      <c r="A261" s="20" t="str">
        <f aca="false">IF(C261="","",ROW()-12)</f>
        <v/>
      </c>
      <c r="B261" s="21" t="str">
        <f aca="false">IF(C261="","",WORKDAY($C$5-1,A261,'NSE Holidays'!$A$5:$A$64))</f>
        <v/>
      </c>
      <c r="C261" s="22" t="str">
        <f aca="false">IF(C260="","",IF(OR(IF(ISNUMBER(G260),H260,F260)&gt;=$C$7,IF(ISNUMBER(G260),H260,F260)&lt;=0),"",IF(ISNUMBER(G260),H260,F260)))</f>
        <v/>
      </c>
      <c r="D261" s="22" t="str">
        <f aca="false">IF(C261="","",ROUND(C261*$C$8,2))</f>
        <v/>
      </c>
      <c r="E261" s="22" t="str">
        <f aca="false">IF(C261="","",ROUND(C261*$C$9,2))</f>
        <v/>
      </c>
      <c r="F261" s="22" t="str">
        <f aca="false">IF(C261="","",C261+D261)</f>
        <v/>
      </c>
      <c r="G261" s="23" t="str">
        <f aca="false">IF(OR(C261="",NOT(ISNUMBER(H261))),"",ROUND(H261-C261,2))</f>
        <v/>
      </c>
      <c r="H261" s="24"/>
      <c r="I261" s="25" t="str">
        <f aca="false">IF(C261="","",IF(ISNUMBER(G261),IF(G261&lt;-E261,"Actual – Loss (limit breached)",IF(G261&lt;0,"Actual – Loss",IF(G261&gt;0,"Actual – Profit","Actual – No trade"))),"Projection"))</f>
        <v/>
      </c>
      <c r="J261" s="26"/>
      <c r="K261" s="27"/>
    </row>
    <row r="262" customFormat="false" ht="15" hidden="false" customHeight="false" outlineLevel="0" collapsed="false">
      <c r="A262" s="20" t="str">
        <f aca="false">IF(C262="","",ROW()-12)</f>
        <v/>
      </c>
      <c r="B262" s="21" t="str">
        <f aca="false">IF(C262="","",WORKDAY($C$5-1,A262,'NSE Holidays'!$A$5:$A$64))</f>
        <v/>
      </c>
      <c r="C262" s="22" t="str">
        <f aca="false">IF(C261="","",IF(OR(IF(ISNUMBER(G261),H261,F261)&gt;=$C$7,IF(ISNUMBER(G261),H261,F261)&lt;=0),"",IF(ISNUMBER(G261),H261,F261)))</f>
        <v/>
      </c>
      <c r="D262" s="22" t="str">
        <f aca="false">IF(C262="","",ROUND(C262*$C$8,2))</f>
        <v/>
      </c>
      <c r="E262" s="22" t="str">
        <f aca="false">IF(C262="","",ROUND(C262*$C$9,2))</f>
        <v/>
      </c>
      <c r="F262" s="22" t="str">
        <f aca="false">IF(C262="","",C262+D262)</f>
        <v/>
      </c>
      <c r="G262" s="23" t="str">
        <f aca="false">IF(OR(C262="",NOT(ISNUMBER(H262))),"",ROUND(H262-C262,2))</f>
        <v/>
      </c>
      <c r="H262" s="24"/>
      <c r="I262" s="25" t="str">
        <f aca="false">IF(C262="","",IF(ISNUMBER(G262),IF(G262&lt;-E262,"Actual – Loss (limit breached)",IF(G262&lt;0,"Actual – Loss",IF(G262&gt;0,"Actual – Profit","Actual – No trade"))),"Projection"))</f>
        <v/>
      </c>
      <c r="J262" s="26"/>
      <c r="K262" s="27"/>
    </row>
    <row r="263" customFormat="false" ht="15" hidden="false" customHeight="false" outlineLevel="0" collapsed="false">
      <c r="A263" s="20" t="str">
        <f aca="false">IF(C263="","",ROW()-12)</f>
        <v/>
      </c>
      <c r="B263" s="21" t="str">
        <f aca="false">IF(C263="","",WORKDAY($C$5-1,A263,'NSE Holidays'!$A$5:$A$64))</f>
        <v/>
      </c>
      <c r="C263" s="22" t="str">
        <f aca="false">IF(C262="","",IF(OR(IF(ISNUMBER(G262),H262,F262)&gt;=$C$7,IF(ISNUMBER(G262),H262,F262)&lt;=0),"",IF(ISNUMBER(G262),H262,F262)))</f>
        <v/>
      </c>
      <c r="D263" s="22" t="str">
        <f aca="false">IF(C263="","",ROUND(C263*$C$8,2))</f>
        <v/>
      </c>
      <c r="E263" s="22" t="str">
        <f aca="false">IF(C263="","",ROUND(C263*$C$9,2))</f>
        <v/>
      </c>
      <c r="F263" s="22" t="str">
        <f aca="false">IF(C263="","",C263+D263)</f>
        <v/>
      </c>
      <c r="G263" s="23" t="str">
        <f aca="false">IF(OR(C263="",NOT(ISNUMBER(H263))),"",ROUND(H263-C263,2))</f>
        <v/>
      </c>
      <c r="H263" s="24"/>
      <c r="I263" s="25" t="str">
        <f aca="false">IF(C263="","",IF(ISNUMBER(G263),IF(G263&lt;-E263,"Actual – Loss (limit breached)",IF(G263&lt;0,"Actual – Loss",IF(G263&gt;0,"Actual – Profit","Actual – No trade"))),"Projection"))</f>
        <v/>
      </c>
      <c r="J263" s="26"/>
      <c r="K263" s="27"/>
    </row>
    <row r="264" customFormat="false" ht="15" hidden="false" customHeight="false" outlineLevel="0" collapsed="false">
      <c r="A264" s="20" t="str">
        <f aca="false">IF(C264="","",ROW()-12)</f>
        <v/>
      </c>
      <c r="B264" s="21" t="str">
        <f aca="false">IF(C264="","",WORKDAY($C$5-1,A264,'NSE Holidays'!$A$5:$A$64))</f>
        <v/>
      </c>
      <c r="C264" s="22" t="str">
        <f aca="false">IF(C263="","",IF(OR(IF(ISNUMBER(G263),H263,F263)&gt;=$C$7,IF(ISNUMBER(G263),H263,F263)&lt;=0),"",IF(ISNUMBER(G263),H263,F263)))</f>
        <v/>
      </c>
      <c r="D264" s="22" t="str">
        <f aca="false">IF(C264="","",ROUND(C264*$C$8,2))</f>
        <v/>
      </c>
      <c r="E264" s="22" t="str">
        <f aca="false">IF(C264="","",ROUND(C264*$C$9,2))</f>
        <v/>
      </c>
      <c r="F264" s="22" t="str">
        <f aca="false">IF(C264="","",C264+D264)</f>
        <v/>
      </c>
      <c r="G264" s="23" t="str">
        <f aca="false">IF(OR(C264="",NOT(ISNUMBER(H264))),"",ROUND(H264-C264,2))</f>
        <v/>
      </c>
      <c r="H264" s="24"/>
      <c r="I264" s="25" t="str">
        <f aca="false">IF(C264="","",IF(ISNUMBER(G264),IF(G264&lt;-E264,"Actual – Loss (limit breached)",IF(G264&lt;0,"Actual – Loss",IF(G264&gt;0,"Actual – Profit","Actual – No trade"))),"Projection"))</f>
        <v/>
      </c>
      <c r="J264" s="26"/>
      <c r="K264" s="27"/>
    </row>
    <row r="265" customFormat="false" ht="15" hidden="false" customHeight="false" outlineLevel="0" collapsed="false">
      <c r="A265" s="20" t="str">
        <f aca="false">IF(C265="","",ROW()-12)</f>
        <v/>
      </c>
      <c r="B265" s="21" t="str">
        <f aca="false">IF(C265="","",WORKDAY($C$5-1,A265,'NSE Holidays'!$A$5:$A$64))</f>
        <v/>
      </c>
      <c r="C265" s="22" t="str">
        <f aca="false">IF(C264="","",IF(OR(IF(ISNUMBER(G264),H264,F264)&gt;=$C$7,IF(ISNUMBER(G264),H264,F264)&lt;=0),"",IF(ISNUMBER(G264),H264,F264)))</f>
        <v/>
      </c>
      <c r="D265" s="22" t="str">
        <f aca="false">IF(C265="","",ROUND(C265*$C$8,2))</f>
        <v/>
      </c>
      <c r="E265" s="22" t="str">
        <f aca="false">IF(C265="","",ROUND(C265*$C$9,2))</f>
        <v/>
      </c>
      <c r="F265" s="22" t="str">
        <f aca="false">IF(C265="","",C265+D265)</f>
        <v/>
      </c>
      <c r="G265" s="23" t="str">
        <f aca="false">IF(OR(C265="",NOT(ISNUMBER(H265))),"",ROUND(H265-C265,2))</f>
        <v/>
      </c>
      <c r="H265" s="24"/>
      <c r="I265" s="25" t="str">
        <f aca="false">IF(C265="","",IF(ISNUMBER(G265),IF(G265&lt;-E265,"Actual – Loss (limit breached)",IF(G265&lt;0,"Actual – Loss",IF(G265&gt;0,"Actual – Profit","Actual – No trade"))),"Projection"))</f>
        <v/>
      </c>
      <c r="J265" s="26"/>
      <c r="K265" s="27"/>
    </row>
    <row r="266" customFormat="false" ht="15" hidden="false" customHeight="false" outlineLevel="0" collapsed="false">
      <c r="A266" s="20" t="str">
        <f aca="false">IF(C266="","",ROW()-12)</f>
        <v/>
      </c>
      <c r="B266" s="21" t="str">
        <f aca="false">IF(C266="","",WORKDAY($C$5-1,A266,'NSE Holidays'!$A$5:$A$64))</f>
        <v/>
      </c>
      <c r="C266" s="22" t="str">
        <f aca="false">IF(C265="","",IF(OR(IF(ISNUMBER(G265),H265,F265)&gt;=$C$7,IF(ISNUMBER(G265),H265,F265)&lt;=0),"",IF(ISNUMBER(G265),H265,F265)))</f>
        <v/>
      </c>
      <c r="D266" s="22" t="str">
        <f aca="false">IF(C266="","",ROUND(C266*$C$8,2))</f>
        <v/>
      </c>
      <c r="E266" s="22" t="str">
        <f aca="false">IF(C266="","",ROUND(C266*$C$9,2))</f>
        <v/>
      </c>
      <c r="F266" s="22" t="str">
        <f aca="false">IF(C266="","",C266+D266)</f>
        <v/>
      </c>
      <c r="G266" s="23" t="str">
        <f aca="false">IF(OR(C266="",NOT(ISNUMBER(H266))),"",ROUND(H266-C266,2))</f>
        <v/>
      </c>
      <c r="H266" s="24"/>
      <c r="I266" s="25" t="str">
        <f aca="false">IF(C266="","",IF(ISNUMBER(G266),IF(G266&lt;-E266,"Actual – Loss (limit breached)",IF(G266&lt;0,"Actual – Loss",IF(G266&gt;0,"Actual – Profit","Actual – No trade"))),"Projection"))</f>
        <v/>
      </c>
      <c r="J266" s="26"/>
      <c r="K266" s="27"/>
    </row>
    <row r="267" customFormat="false" ht="15" hidden="false" customHeight="false" outlineLevel="0" collapsed="false">
      <c r="A267" s="20" t="str">
        <f aca="false">IF(C267="","",ROW()-12)</f>
        <v/>
      </c>
      <c r="B267" s="21" t="str">
        <f aca="false">IF(C267="","",WORKDAY($C$5-1,A267,'NSE Holidays'!$A$5:$A$64))</f>
        <v/>
      </c>
      <c r="C267" s="22" t="str">
        <f aca="false">IF(C266="","",IF(OR(IF(ISNUMBER(G266),H266,F266)&gt;=$C$7,IF(ISNUMBER(G266),H266,F266)&lt;=0),"",IF(ISNUMBER(G266),H266,F266)))</f>
        <v/>
      </c>
      <c r="D267" s="22" t="str">
        <f aca="false">IF(C267="","",ROUND(C267*$C$8,2))</f>
        <v/>
      </c>
      <c r="E267" s="22" t="str">
        <f aca="false">IF(C267="","",ROUND(C267*$C$9,2))</f>
        <v/>
      </c>
      <c r="F267" s="22" t="str">
        <f aca="false">IF(C267="","",C267+D267)</f>
        <v/>
      </c>
      <c r="G267" s="23" t="str">
        <f aca="false">IF(OR(C267="",NOT(ISNUMBER(H267))),"",ROUND(H267-C267,2))</f>
        <v/>
      </c>
      <c r="H267" s="24"/>
      <c r="I267" s="25" t="str">
        <f aca="false">IF(C267="","",IF(ISNUMBER(G267),IF(G267&lt;-E267,"Actual – Loss (limit breached)",IF(G267&lt;0,"Actual – Loss",IF(G267&gt;0,"Actual – Profit","Actual – No trade"))),"Projection"))</f>
        <v/>
      </c>
      <c r="J267" s="26"/>
      <c r="K267" s="27"/>
    </row>
    <row r="268" customFormat="false" ht="15" hidden="false" customHeight="false" outlineLevel="0" collapsed="false">
      <c r="A268" s="20" t="str">
        <f aca="false">IF(C268="","",ROW()-12)</f>
        <v/>
      </c>
      <c r="B268" s="21" t="str">
        <f aca="false">IF(C268="","",WORKDAY($C$5-1,A268,'NSE Holidays'!$A$5:$A$64))</f>
        <v/>
      </c>
      <c r="C268" s="22" t="str">
        <f aca="false">IF(C267="","",IF(OR(IF(ISNUMBER(G267),H267,F267)&gt;=$C$7,IF(ISNUMBER(G267),H267,F267)&lt;=0),"",IF(ISNUMBER(G267),H267,F267)))</f>
        <v/>
      </c>
      <c r="D268" s="22" t="str">
        <f aca="false">IF(C268="","",ROUND(C268*$C$8,2))</f>
        <v/>
      </c>
      <c r="E268" s="22" t="str">
        <f aca="false">IF(C268="","",ROUND(C268*$C$9,2))</f>
        <v/>
      </c>
      <c r="F268" s="22" t="str">
        <f aca="false">IF(C268="","",C268+D268)</f>
        <v/>
      </c>
      <c r="G268" s="23" t="str">
        <f aca="false">IF(OR(C268="",NOT(ISNUMBER(H268))),"",ROUND(H268-C268,2))</f>
        <v/>
      </c>
      <c r="H268" s="24"/>
      <c r="I268" s="25" t="str">
        <f aca="false">IF(C268="","",IF(ISNUMBER(G268),IF(G268&lt;-E268,"Actual – Loss (limit breached)",IF(G268&lt;0,"Actual – Loss",IF(G268&gt;0,"Actual – Profit","Actual – No trade"))),"Projection"))</f>
        <v/>
      </c>
      <c r="J268" s="26"/>
      <c r="K268" s="27"/>
    </row>
    <row r="269" customFormat="false" ht="15" hidden="false" customHeight="false" outlineLevel="0" collapsed="false">
      <c r="A269" s="20" t="str">
        <f aca="false">IF(C269="","",ROW()-12)</f>
        <v/>
      </c>
      <c r="B269" s="21" t="str">
        <f aca="false">IF(C269="","",WORKDAY($C$5-1,A269,'NSE Holidays'!$A$5:$A$64))</f>
        <v/>
      </c>
      <c r="C269" s="22" t="str">
        <f aca="false">IF(C268="","",IF(OR(IF(ISNUMBER(G268),H268,F268)&gt;=$C$7,IF(ISNUMBER(G268),H268,F268)&lt;=0),"",IF(ISNUMBER(G268),H268,F268)))</f>
        <v/>
      </c>
      <c r="D269" s="22" t="str">
        <f aca="false">IF(C269="","",ROUND(C269*$C$8,2))</f>
        <v/>
      </c>
      <c r="E269" s="22" t="str">
        <f aca="false">IF(C269="","",ROUND(C269*$C$9,2))</f>
        <v/>
      </c>
      <c r="F269" s="22" t="str">
        <f aca="false">IF(C269="","",C269+D269)</f>
        <v/>
      </c>
      <c r="G269" s="23" t="str">
        <f aca="false">IF(OR(C269="",NOT(ISNUMBER(H269))),"",ROUND(H269-C269,2))</f>
        <v/>
      </c>
      <c r="H269" s="24"/>
      <c r="I269" s="25" t="str">
        <f aca="false">IF(C269="","",IF(ISNUMBER(G269),IF(G269&lt;-E269,"Actual – Loss (limit breached)",IF(G269&lt;0,"Actual – Loss",IF(G269&gt;0,"Actual – Profit","Actual – No trade"))),"Projection"))</f>
        <v/>
      </c>
      <c r="J269" s="26"/>
      <c r="K269" s="27"/>
    </row>
    <row r="270" customFormat="false" ht="15" hidden="false" customHeight="false" outlineLevel="0" collapsed="false">
      <c r="A270" s="20" t="str">
        <f aca="false">IF(C270="","",ROW()-12)</f>
        <v/>
      </c>
      <c r="B270" s="21" t="str">
        <f aca="false">IF(C270="","",WORKDAY($C$5-1,A270,'NSE Holidays'!$A$5:$A$64))</f>
        <v/>
      </c>
      <c r="C270" s="22" t="str">
        <f aca="false">IF(C269="","",IF(OR(IF(ISNUMBER(G269),H269,F269)&gt;=$C$7,IF(ISNUMBER(G269),H269,F269)&lt;=0),"",IF(ISNUMBER(G269),H269,F269)))</f>
        <v/>
      </c>
      <c r="D270" s="22" t="str">
        <f aca="false">IF(C270="","",ROUND(C270*$C$8,2))</f>
        <v/>
      </c>
      <c r="E270" s="22" t="str">
        <f aca="false">IF(C270="","",ROUND(C270*$C$9,2))</f>
        <v/>
      </c>
      <c r="F270" s="22" t="str">
        <f aca="false">IF(C270="","",C270+D270)</f>
        <v/>
      </c>
      <c r="G270" s="23" t="str">
        <f aca="false">IF(OR(C270="",NOT(ISNUMBER(H270))),"",ROUND(H270-C270,2))</f>
        <v/>
      </c>
      <c r="H270" s="24"/>
      <c r="I270" s="25" t="str">
        <f aca="false">IF(C270="","",IF(ISNUMBER(G270),IF(G270&lt;-E270,"Actual – Loss (limit breached)",IF(G270&lt;0,"Actual – Loss",IF(G270&gt;0,"Actual – Profit","Actual – No trade"))),"Projection"))</f>
        <v/>
      </c>
      <c r="J270" s="26"/>
      <c r="K270" s="27"/>
    </row>
    <row r="271" customFormat="false" ht="15" hidden="false" customHeight="false" outlineLevel="0" collapsed="false">
      <c r="A271" s="20" t="str">
        <f aca="false">IF(C271="","",ROW()-12)</f>
        <v/>
      </c>
      <c r="B271" s="21" t="str">
        <f aca="false">IF(C271="","",WORKDAY($C$5-1,A271,'NSE Holidays'!$A$5:$A$64))</f>
        <v/>
      </c>
      <c r="C271" s="22" t="str">
        <f aca="false">IF(C270="","",IF(OR(IF(ISNUMBER(G270),H270,F270)&gt;=$C$7,IF(ISNUMBER(G270),H270,F270)&lt;=0),"",IF(ISNUMBER(G270),H270,F270)))</f>
        <v/>
      </c>
      <c r="D271" s="22" t="str">
        <f aca="false">IF(C271="","",ROUND(C271*$C$8,2))</f>
        <v/>
      </c>
      <c r="E271" s="22" t="str">
        <f aca="false">IF(C271="","",ROUND(C271*$C$9,2))</f>
        <v/>
      </c>
      <c r="F271" s="22" t="str">
        <f aca="false">IF(C271="","",C271+D271)</f>
        <v/>
      </c>
      <c r="G271" s="23" t="str">
        <f aca="false">IF(OR(C271="",NOT(ISNUMBER(H271))),"",ROUND(H271-C271,2))</f>
        <v/>
      </c>
      <c r="H271" s="24"/>
      <c r="I271" s="25" t="str">
        <f aca="false">IF(C271="","",IF(ISNUMBER(G271),IF(G271&lt;-E271,"Actual – Loss (limit breached)",IF(G271&lt;0,"Actual – Loss",IF(G271&gt;0,"Actual – Profit","Actual – No trade"))),"Projection"))</f>
        <v/>
      </c>
      <c r="J271" s="26"/>
      <c r="K271" s="27"/>
    </row>
    <row r="272" customFormat="false" ht="15" hidden="false" customHeight="false" outlineLevel="0" collapsed="false">
      <c r="A272" s="20" t="str">
        <f aca="false">IF(C272="","",ROW()-12)</f>
        <v/>
      </c>
      <c r="B272" s="21" t="str">
        <f aca="false">IF(C272="","",WORKDAY($C$5-1,A272,'NSE Holidays'!$A$5:$A$64))</f>
        <v/>
      </c>
      <c r="C272" s="22" t="str">
        <f aca="false">IF(C271="","",IF(OR(IF(ISNUMBER(G271),H271,F271)&gt;=$C$7,IF(ISNUMBER(G271),H271,F271)&lt;=0),"",IF(ISNUMBER(G271),H271,F271)))</f>
        <v/>
      </c>
      <c r="D272" s="22" t="str">
        <f aca="false">IF(C272="","",ROUND(C272*$C$8,2))</f>
        <v/>
      </c>
      <c r="E272" s="22" t="str">
        <f aca="false">IF(C272="","",ROUND(C272*$C$9,2))</f>
        <v/>
      </c>
      <c r="F272" s="22" t="str">
        <f aca="false">IF(C272="","",C272+D272)</f>
        <v/>
      </c>
      <c r="G272" s="23" t="str">
        <f aca="false">IF(OR(C272="",NOT(ISNUMBER(H272))),"",ROUND(H272-C272,2))</f>
        <v/>
      </c>
      <c r="H272" s="24"/>
      <c r="I272" s="25" t="str">
        <f aca="false">IF(C272="","",IF(ISNUMBER(G272),IF(G272&lt;-E272,"Actual – Loss (limit breached)",IF(G272&lt;0,"Actual – Loss",IF(G272&gt;0,"Actual – Profit","Actual – No trade"))),"Projection"))</f>
        <v/>
      </c>
      <c r="J272" s="26"/>
      <c r="K272" s="27"/>
    </row>
    <row r="273" customFormat="false" ht="15" hidden="false" customHeight="false" outlineLevel="0" collapsed="false">
      <c r="A273" s="20" t="str">
        <f aca="false">IF(C273="","",ROW()-12)</f>
        <v/>
      </c>
      <c r="B273" s="21" t="str">
        <f aca="false">IF(C273="","",WORKDAY($C$5-1,A273,'NSE Holidays'!$A$5:$A$64))</f>
        <v/>
      </c>
      <c r="C273" s="22" t="str">
        <f aca="false">IF(C272="","",IF(OR(IF(ISNUMBER(G272),H272,F272)&gt;=$C$7,IF(ISNUMBER(G272),H272,F272)&lt;=0),"",IF(ISNUMBER(G272),H272,F272)))</f>
        <v/>
      </c>
      <c r="D273" s="22" t="str">
        <f aca="false">IF(C273="","",ROUND(C273*$C$8,2))</f>
        <v/>
      </c>
      <c r="E273" s="22" t="str">
        <f aca="false">IF(C273="","",ROUND(C273*$C$9,2))</f>
        <v/>
      </c>
      <c r="F273" s="22" t="str">
        <f aca="false">IF(C273="","",C273+D273)</f>
        <v/>
      </c>
      <c r="G273" s="23" t="str">
        <f aca="false">IF(OR(C273="",NOT(ISNUMBER(H273))),"",ROUND(H273-C273,2))</f>
        <v/>
      </c>
      <c r="H273" s="24"/>
      <c r="I273" s="25" t="str">
        <f aca="false">IF(C273="","",IF(ISNUMBER(G273),IF(G273&lt;-E273,"Actual – Loss (limit breached)",IF(G273&lt;0,"Actual – Loss",IF(G273&gt;0,"Actual – Profit","Actual – No trade"))),"Projection"))</f>
        <v/>
      </c>
      <c r="J273" s="26"/>
      <c r="K273" s="27"/>
    </row>
    <row r="274" customFormat="false" ht="15" hidden="false" customHeight="false" outlineLevel="0" collapsed="false">
      <c r="A274" s="20" t="str">
        <f aca="false">IF(C274="","",ROW()-12)</f>
        <v/>
      </c>
      <c r="B274" s="21" t="str">
        <f aca="false">IF(C274="","",WORKDAY($C$5-1,A274,'NSE Holidays'!$A$5:$A$64))</f>
        <v/>
      </c>
      <c r="C274" s="22" t="str">
        <f aca="false">IF(C273="","",IF(OR(IF(ISNUMBER(G273),H273,F273)&gt;=$C$7,IF(ISNUMBER(G273),H273,F273)&lt;=0),"",IF(ISNUMBER(G273),H273,F273)))</f>
        <v/>
      </c>
      <c r="D274" s="22" t="str">
        <f aca="false">IF(C274="","",ROUND(C274*$C$8,2))</f>
        <v/>
      </c>
      <c r="E274" s="22" t="str">
        <f aca="false">IF(C274="","",ROUND(C274*$C$9,2))</f>
        <v/>
      </c>
      <c r="F274" s="22" t="str">
        <f aca="false">IF(C274="","",C274+D274)</f>
        <v/>
      </c>
      <c r="G274" s="23" t="str">
        <f aca="false">IF(OR(C274="",NOT(ISNUMBER(H274))),"",ROUND(H274-C274,2))</f>
        <v/>
      </c>
      <c r="H274" s="24"/>
      <c r="I274" s="25" t="str">
        <f aca="false">IF(C274="","",IF(ISNUMBER(G274),IF(G274&lt;-E274,"Actual – Loss (limit breached)",IF(G274&lt;0,"Actual – Loss",IF(G274&gt;0,"Actual – Profit","Actual – No trade"))),"Projection"))</f>
        <v/>
      </c>
      <c r="J274" s="26"/>
      <c r="K274" s="27"/>
    </row>
    <row r="275" customFormat="false" ht="15" hidden="false" customHeight="false" outlineLevel="0" collapsed="false">
      <c r="A275" s="20" t="str">
        <f aca="false">IF(C275="","",ROW()-12)</f>
        <v/>
      </c>
      <c r="B275" s="21" t="str">
        <f aca="false">IF(C275="","",WORKDAY($C$5-1,A275,'NSE Holidays'!$A$5:$A$64))</f>
        <v/>
      </c>
      <c r="C275" s="22" t="str">
        <f aca="false">IF(C274="","",IF(OR(IF(ISNUMBER(G274),H274,F274)&gt;=$C$7,IF(ISNUMBER(G274),H274,F274)&lt;=0),"",IF(ISNUMBER(G274),H274,F274)))</f>
        <v/>
      </c>
      <c r="D275" s="22" t="str">
        <f aca="false">IF(C275="","",ROUND(C275*$C$8,2))</f>
        <v/>
      </c>
      <c r="E275" s="22" t="str">
        <f aca="false">IF(C275="","",ROUND(C275*$C$9,2))</f>
        <v/>
      </c>
      <c r="F275" s="22" t="str">
        <f aca="false">IF(C275="","",C275+D275)</f>
        <v/>
      </c>
      <c r="G275" s="23" t="str">
        <f aca="false">IF(OR(C275="",NOT(ISNUMBER(H275))),"",ROUND(H275-C275,2))</f>
        <v/>
      </c>
      <c r="H275" s="24"/>
      <c r="I275" s="25" t="str">
        <f aca="false">IF(C275="","",IF(ISNUMBER(G275),IF(G275&lt;-E275,"Actual – Loss (limit breached)",IF(G275&lt;0,"Actual – Loss",IF(G275&gt;0,"Actual – Profit","Actual – No trade"))),"Projection"))</f>
        <v/>
      </c>
      <c r="J275" s="26"/>
      <c r="K275" s="27"/>
    </row>
    <row r="276" customFormat="false" ht="15" hidden="false" customHeight="false" outlineLevel="0" collapsed="false">
      <c r="A276" s="20" t="str">
        <f aca="false">IF(C276="","",ROW()-12)</f>
        <v/>
      </c>
      <c r="B276" s="21" t="str">
        <f aca="false">IF(C276="","",WORKDAY($C$5-1,A276,'NSE Holidays'!$A$5:$A$64))</f>
        <v/>
      </c>
      <c r="C276" s="22" t="str">
        <f aca="false">IF(C275="","",IF(OR(IF(ISNUMBER(G275),H275,F275)&gt;=$C$7,IF(ISNUMBER(G275),H275,F275)&lt;=0),"",IF(ISNUMBER(G275),H275,F275)))</f>
        <v/>
      </c>
      <c r="D276" s="22" t="str">
        <f aca="false">IF(C276="","",ROUND(C276*$C$8,2))</f>
        <v/>
      </c>
      <c r="E276" s="22" t="str">
        <f aca="false">IF(C276="","",ROUND(C276*$C$9,2))</f>
        <v/>
      </c>
      <c r="F276" s="22" t="str">
        <f aca="false">IF(C276="","",C276+D276)</f>
        <v/>
      </c>
      <c r="G276" s="23" t="str">
        <f aca="false">IF(OR(C276="",NOT(ISNUMBER(H276))),"",ROUND(H276-C276,2))</f>
        <v/>
      </c>
      <c r="H276" s="24"/>
      <c r="I276" s="25" t="str">
        <f aca="false">IF(C276="","",IF(ISNUMBER(G276),IF(G276&lt;-E276,"Actual – Loss (limit breached)",IF(G276&lt;0,"Actual – Loss",IF(G276&gt;0,"Actual – Profit","Actual – No trade"))),"Projection"))</f>
        <v/>
      </c>
      <c r="J276" s="26"/>
      <c r="K276" s="27"/>
    </row>
    <row r="277" customFormat="false" ht="15" hidden="false" customHeight="false" outlineLevel="0" collapsed="false">
      <c r="A277" s="20" t="str">
        <f aca="false">IF(C277="","",ROW()-12)</f>
        <v/>
      </c>
      <c r="B277" s="21" t="str">
        <f aca="false">IF(C277="","",WORKDAY($C$5-1,A277,'NSE Holidays'!$A$5:$A$64))</f>
        <v/>
      </c>
      <c r="C277" s="22" t="str">
        <f aca="false">IF(C276="","",IF(OR(IF(ISNUMBER(G276),H276,F276)&gt;=$C$7,IF(ISNUMBER(G276),H276,F276)&lt;=0),"",IF(ISNUMBER(G276),H276,F276)))</f>
        <v/>
      </c>
      <c r="D277" s="22" t="str">
        <f aca="false">IF(C277="","",ROUND(C277*$C$8,2))</f>
        <v/>
      </c>
      <c r="E277" s="22" t="str">
        <f aca="false">IF(C277="","",ROUND(C277*$C$9,2))</f>
        <v/>
      </c>
      <c r="F277" s="22" t="str">
        <f aca="false">IF(C277="","",C277+D277)</f>
        <v/>
      </c>
      <c r="G277" s="23" t="str">
        <f aca="false">IF(OR(C277="",NOT(ISNUMBER(H277))),"",ROUND(H277-C277,2))</f>
        <v/>
      </c>
      <c r="H277" s="24"/>
      <c r="I277" s="25" t="str">
        <f aca="false">IF(C277="","",IF(ISNUMBER(G277),IF(G277&lt;-E277,"Actual – Loss (limit breached)",IF(G277&lt;0,"Actual – Loss",IF(G277&gt;0,"Actual – Profit","Actual – No trade"))),"Projection"))</f>
        <v/>
      </c>
      <c r="J277" s="26"/>
      <c r="K277" s="27"/>
    </row>
    <row r="278" customFormat="false" ht="15" hidden="false" customHeight="false" outlineLevel="0" collapsed="false">
      <c r="A278" s="20" t="str">
        <f aca="false">IF(C278="","",ROW()-12)</f>
        <v/>
      </c>
      <c r="B278" s="21" t="str">
        <f aca="false">IF(C278="","",WORKDAY($C$5-1,A278,'NSE Holidays'!$A$5:$A$64))</f>
        <v/>
      </c>
      <c r="C278" s="22" t="str">
        <f aca="false">IF(C277="","",IF(OR(IF(ISNUMBER(G277),H277,F277)&gt;=$C$7,IF(ISNUMBER(G277),H277,F277)&lt;=0),"",IF(ISNUMBER(G277),H277,F277)))</f>
        <v/>
      </c>
      <c r="D278" s="22" t="str">
        <f aca="false">IF(C278="","",ROUND(C278*$C$8,2))</f>
        <v/>
      </c>
      <c r="E278" s="22" t="str">
        <f aca="false">IF(C278="","",ROUND(C278*$C$9,2))</f>
        <v/>
      </c>
      <c r="F278" s="22" t="str">
        <f aca="false">IF(C278="","",C278+D278)</f>
        <v/>
      </c>
      <c r="G278" s="23" t="str">
        <f aca="false">IF(OR(C278="",NOT(ISNUMBER(H278))),"",ROUND(H278-C278,2))</f>
        <v/>
      </c>
      <c r="H278" s="24"/>
      <c r="I278" s="25" t="str">
        <f aca="false">IF(C278="","",IF(ISNUMBER(G278),IF(G278&lt;-E278,"Actual – Loss (limit breached)",IF(G278&lt;0,"Actual – Loss",IF(G278&gt;0,"Actual – Profit","Actual – No trade"))),"Projection"))</f>
        <v/>
      </c>
      <c r="J278" s="26"/>
      <c r="K278" s="27"/>
    </row>
    <row r="279" customFormat="false" ht="15" hidden="false" customHeight="false" outlineLevel="0" collapsed="false">
      <c r="A279" s="20" t="str">
        <f aca="false">IF(C279="","",ROW()-12)</f>
        <v/>
      </c>
      <c r="B279" s="21" t="str">
        <f aca="false">IF(C279="","",WORKDAY($C$5-1,A279,'NSE Holidays'!$A$5:$A$64))</f>
        <v/>
      </c>
      <c r="C279" s="22" t="str">
        <f aca="false">IF(C278="","",IF(OR(IF(ISNUMBER(G278),H278,F278)&gt;=$C$7,IF(ISNUMBER(G278),H278,F278)&lt;=0),"",IF(ISNUMBER(G278),H278,F278)))</f>
        <v/>
      </c>
      <c r="D279" s="22" t="str">
        <f aca="false">IF(C279="","",ROUND(C279*$C$8,2))</f>
        <v/>
      </c>
      <c r="E279" s="22" t="str">
        <f aca="false">IF(C279="","",ROUND(C279*$C$9,2))</f>
        <v/>
      </c>
      <c r="F279" s="22" t="str">
        <f aca="false">IF(C279="","",C279+D279)</f>
        <v/>
      </c>
      <c r="G279" s="23" t="str">
        <f aca="false">IF(OR(C279="",NOT(ISNUMBER(H279))),"",ROUND(H279-C279,2))</f>
        <v/>
      </c>
      <c r="H279" s="24"/>
      <c r="I279" s="25" t="str">
        <f aca="false">IF(C279="","",IF(ISNUMBER(G279),IF(G279&lt;-E279,"Actual – Loss (limit breached)",IF(G279&lt;0,"Actual – Loss",IF(G279&gt;0,"Actual – Profit","Actual – No trade"))),"Projection"))</f>
        <v/>
      </c>
      <c r="J279" s="26"/>
      <c r="K279" s="27"/>
    </row>
    <row r="280" customFormat="false" ht="15" hidden="false" customHeight="false" outlineLevel="0" collapsed="false">
      <c r="A280" s="20" t="str">
        <f aca="false">IF(C280="","",ROW()-12)</f>
        <v/>
      </c>
      <c r="B280" s="21" t="str">
        <f aca="false">IF(C280="","",WORKDAY($C$5-1,A280,'NSE Holidays'!$A$5:$A$64))</f>
        <v/>
      </c>
      <c r="C280" s="22" t="str">
        <f aca="false">IF(C279="","",IF(OR(IF(ISNUMBER(G279),H279,F279)&gt;=$C$7,IF(ISNUMBER(G279),H279,F279)&lt;=0),"",IF(ISNUMBER(G279),H279,F279)))</f>
        <v/>
      </c>
      <c r="D280" s="22" t="str">
        <f aca="false">IF(C280="","",ROUND(C280*$C$8,2))</f>
        <v/>
      </c>
      <c r="E280" s="22" t="str">
        <f aca="false">IF(C280="","",ROUND(C280*$C$9,2))</f>
        <v/>
      </c>
      <c r="F280" s="22" t="str">
        <f aca="false">IF(C280="","",C280+D280)</f>
        <v/>
      </c>
      <c r="G280" s="23" t="str">
        <f aca="false">IF(OR(C280="",NOT(ISNUMBER(H280))),"",ROUND(H280-C280,2))</f>
        <v/>
      </c>
      <c r="H280" s="24"/>
      <c r="I280" s="25" t="str">
        <f aca="false">IF(C280="","",IF(ISNUMBER(G280),IF(G280&lt;-E280,"Actual – Loss (limit breached)",IF(G280&lt;0,"Actual – Loss",IF(G280&gt;0,"Actual – Profit","Actual – No trade"))),"Projection"))</f>
        <v/>
      </c>
      <c r="J280" s="26"/>
      <c r="K280" s="27"/>
    </row>
    <row r="281" customFormat="false" ht="15" hidden="false" customHeight="false" outlineLevel="0" collapsed="false">
      <c r="A281" s="20" t="str">
        <f aca="false">IF(C281="","",ROW()-12)</f>
        <v/>
      </c>
      <c r="B281" s="21" t="str">
        <f aca="false">IF(C281="","",WORKDAY($C$5-1,A281,'NSE Holidays'!$A$5:$A$64))</f>
        <v/>
      </c>
      <c r="C281" s="22" t="str">
        <f aca="false">IF(C280="","",IF(OR(IF(ISNUMBER(G280),H280,F280)&gt;=$C$7,IF(ISNUMBER(G280),H280,F280)&lt;=0),"",IF(ISNUMBER(G280),H280,F280)))</f>
        <v/>
      </c>
      <c r="D281" s="22" t="str">
        <f aca="false">IF(C281="","",ROUND(C281*$C$8,2))</f>
        <v/>
      </c>
      <c r="E281" s="22" t="str">
        <f aca="false">IF(C281="","",ROUND(C281*$C$9,2))</f>
        <v/>
      </c>
      <c r="F281" s="22" t="str">
        <f aca="false">IF(C281="","",C281+D281)</f>
        <v/>
      </c>
      <c r="G281" s="23" t="str">
        <f aca="false">IF(OR(C281="",NOT(ISNUMBER(H281))),"",ROUND(H281-C281,2))</f>
        <v/>
      </c>
      <c r="H281" s="24"/>
      <c r="I281" s="25" t="str">
        <f aca="false">IF(C281="","",IF(ISNUMBER(G281),IF(G281&lt;-E281,"Actual – Loss (limit breached)",IF(G281&lt;0,"Actual – Loss",IF(G281&gt;0,"Actual – Profit","Actual – No trade"))),"Projection"))</f>
        <v/>
      </c>
      <c r="J281" s="26"/>
      <c r="K281" s="27"/>
    </row>
    <row r="282" customFormat="false" ht="15" hidden="false" customHeight="false" outlineLevel="0" collapsed="false">
      <c r="A282" s="20" t="str">
        <f aca="false">IF(C282="","",ROW()-12)</f>
        <v/>
      </c>
      <c r="B282" s="21" t="str">
        <f aca="false">IF(C282="","",WORKDAY($C$5-1,A282,'NSE Holidays'!$A$5:$A$64))</f>
        <v/>
      </c>
      <c r="C282" s="22" t="str">
        <f aca="false">IF(C281="","",IF(OR(IF(ISNUMBER(G281),H281,F281)&gt;=$C$7,IF(ISNUMBER(G281),H281,F281)&lt;=0),"",IF(ISNUMBER(G281),H281,F281)))</f>
        <v/>
      </c>
      <c r="D282" s="22" t="str">
        <f aca="false">IF(C282="","",ROUND(C282*$C$8,2))</f>
        <v/>
      </c>
      <c r="E282" s="22" t="str">
        <f aca="false">IF(C282="","",ROUND(C282*$C$9,2))</f>
        <v/>
      </c>
      <c r="F282" s="22" t="str">
        <f aca="false">IF(C282="","",C282+D282)</f>
        <v/>
      </c>
      <c r="G282" s="23" t="str">
        <f aca="false">IF(OR(C282="",NOT(ISNUMBER(H282))),"",ROUND(H282-C282,2))</f>
        <v/>
      </c>
      <c r="H282" s="24"/>
      <c r="I282" s="25" t="str">
        <f aca="false">IF(C282="","",IF(ISNUMBER(G282),IF(G282&lt;-E282,"Actual – Loss (limit breached)",IF(G282&lt;0,"Actual – Loss",IF(G282&gt;0,"Actual – Profit","Actual – No trade"))),"Projection"))</f>
        <v/>
      </c>
      <c r="J282" s="26"/>
      <c r="K282" s="27"/>
    </row>
    <row r="283" customFormat="false" ht="15" hidden="false" customHeight="false" outlineLevel="0" collapsed="false">
      <c r="A283" s="20" t="str">
        <f aca="false">IF(C283="","",ROW()-12)</f>
        <v/>
      </c>
      <c r="B283" s="21" t="str">
        <f aca="false">IF(C283="","",WORKDAY($C$5-1,A283,'NSE Holidays'!$A$5:$A$64))</f>
        <v/>
      </c>
      <c r="C283" s="22" t="str">
        <f aca="false">IF(C282="","",IF(OR(IF(ISNUMBER(G282),H282,F282)&gt;=$C$7,IF(ISNUMBER(G282),H282,F282)&lt;=0),"",IF(ISNUMBER(G282),H282,F282)))</f>
        <v/>
      </c>
      <c r="D283" s="22" t="str">
        <f aca="false">IF(C283="","",ROUND(C283*$C$8,2))</f>
        <v/>
      </c>
      <c r="E283" s="22" t="str">
        <f aca="false">IF(C283="","",ROUND(C283*$C$9,2))</f>
        <v/>
      </c>
      <c r="F283" s="22" t="str">
        <f aca="false">IF(C283="","",C283+D283)</f>
        <v/>
      </c>
      <c r="G283" s="23" t="str">
        <f aca="false">IF(OR(C283="",NOT(ISNUMBER(H283))),"",ROUND(H283-C283,2))</f>
        <v/>
      </c>
      <c r="H283" s="24"/>
      <c r="I283" s="25" t="str">
        <f aca="false">IF(C283="","",IF(ISNUMBER(G283),IF(G283&lt;-E283,"Actual – Loss (limit breached)",IF(G283&lt;0,"Actual – Loss",IF(G283&gt;0,"Actual – Profit","Actual – No trade"))),"Projection"))</f>
        <v/>
      </c>
      <c r="J283" s="26"/>
      <c r="K283" s="27"/>
    </row>
    <row r="284" customFormat="false" ht="15" hidden="false" customHeight="false" outlineLevel="0" collapsed="false">
      <c r="A284" s="20" t="str">
        <f aca="false">IF(C284="","",ROW()-12)</f>
        <v/>
      </c>
      <c r="B284" s="21" t="str">
        <f aca="false">IF(C284="","",WORKDAY($C$5-1,A284,'NSE Holidays'!$A$5:$A$64))</f>
        <v/>
      </c>
      <c r="C284" s="22" t="str">
        <f aca="false">IF(C283="","",IF(OR(IF(ISNUMBER(G283),H283,F283)&gt;=$C$7,IF(ISNUMBER(G283),H283,F283)&lt;=0),"",IF(ISNUMBER(G283),H283,F283)))</f>
        <v/>
      </c>
      <c r="D284" s="22" t="str">
        <f aca="false">IF(C284="","",ROUND(C284*$C$8,2))</f>
        <v/>
      </c>
      <c r="E284" s="22" t="str">
        <f aca="false">IF(C284="","",ROUND(C284*$C$9,2))</f>
        <v/>
      </c>
      <c r="F284" s="22" t="str">
        <f aca="false">IF(C284="","",C284+D284)</f>
        <v/>
      </c>
      <c r="G284" s="23" t="str">
        <f aca="false">IF(OR(C284="",NOT(ISNUMBER(H284))),"",ROUND(H284-C284,2))</f>
        <v/>
      </c>
      <c r="H284" s="24"/>
      <c r="I284" s="25" t="str">
        <f aca="false">IF(C284="","",IF(ISNUMBER(G284),IF(G284&lt;-E284,"Actual – Loss (limit breached)",IF(G284&lt;0,"Actual – Loss",IF(G284&gt;0,"Actual – Profit","Actual – No trade"))),"Projection"))</f>
        <v/>
      </c>
      <c r="J284" s="26"/>
      <c r="K284" s="27"/>
    </row>
    <row r="285" customFormat="false" ht="15" hidden="false" customHeight="false" outlineLevel="0" collapsed="false">
      <c r="A285" s="20" t="str">
        <f aca="false">IF(C285="","",ROW()-12)</f>
        <v/>
      </c>
      <c r="B285" s="21" t="str">
        <f aca="false">IF(C285="","",WORKDAY($C$5-1,A285,'NSE Holidays'!$A$5:$A$64))</f>
        <v/>
      </c>
      <c r="C285" s="22" t="str">
        <f aca="false">IF(C284="","",IF(OR(IF(ISNUMBER(G284),H284,F284)&gt;=$C$7,IF(ISNUMBER(G284),H284,F284)&lt;=0),"",IF(ISNUMBER(G284),H284,F284)))</f>
        <v/>
      </c>
      <c r="D285" s="22" t="str">
        <f aca="false">IF(C285="","",ROUND(C285*$C$8,2))</f>
        <v/>
      </c>
      <c r="E285" s="22" t="str">
        <f aca="false">IF(C285="","",ROUND(C285*$C$9,2))</f>
        <v/>
      </c>
      <c r="F285" s="22" t="str">
        <f aca="false">IF(C285="","",C285+D285)</f>
        <v/>
      </c>
      <c r="G285" s="23" t="str">
        <f aca="false">IF(OR(C285="",NOT(ISNUMBER(H285))),"",ROUND(H285-C285,2))</f>
        <v/>
      </c>
      <c r="H285" s="24"/>
      <c r="I285" s="25" t="str">
        <f aca="false">IF(C285="","",IF(ISNUMBER(G285),IF(G285&lt;-E285,"Actual – Loss (limit breached)",IF(G285&lt;0,"Actual – Loss",IF(G285&gt;0,"Actual – Profit","Actual – No trade"))),"Projection"))</f>
        <v/>
      </c>
      <c r="J285" s="26"/>
      <c r="K285" s="27"/>
    </row>
    <row r="286" customFormat="false" ht="15" hidden="false" customHeight="false" outlineLevel="0" collapsed="false">
      <c r="A286" s="20" t="str">
        <f aca="false">IF(C286="","",ROW()-12)</f>
        <v/>
      </c>
      <c r="B286" s="21" t="str">
        <f aca="false">IF(C286="","",WORKDAY($C$5-1,A286,'NSE Holidays'!$A$5:$A$64))</f>
        <v/>
      </c>
      <c r="C286" s="22" t="str">
        <f aca="false">IF(C285="","",IF(OR(IF(ISNUMBER(G285),H285,F285)&gt;=$C$7,IF(ISNUMBER(G285),H285,F285)&lt;=0),"",IF(ISNUMBER(G285),H285,F285)))</f>
        <v/>
      </c>
      <c r="D286" s="22" t="str">
        <f aca="false">IF(C286="","",ROUND(C286*$C$8,2))</f>
        <v/>
      </c>
      <c r="E286" s="22" t="str">
        <f aca="false">IF(C286="","",ROUND(C286*$C$9,2))</f>
        <v/>
      </c>
      <c r="F286" s="22" t="str">
        <f aca="false">IF(C286="","",C286+D286)</f>
        <v/>
      </c>
      <c r="G286" s="23" t="str">
        <f aca="false">IF(OR(C286="",NOT(ISNUMBER(H286))),"",ROUND(H286-C286,2))</f>
        <v/>
      </c>
      <c r="H286" s="24"/>
      <c r="I286" s="25" t="str">
        <f aca="false">IF(C286="","",IF(ISNUMBER(G286),IF(G286&lt;-E286,"Actual – Loss (limit breached)",IF(G286&lt;0,"Actual – Loss",IF(G286&gt;0,"Actual – Profit","Actual – No trade"))),"Projection"))</f>
        <v/>
      </c>
      <c r="J286" s="26"/>
      <c r="K286" s="27"/>
    </row>
    <row r="287" customFormat="false" ht="15" hidden="false" customHeight="false" outlineLevel="0" collapsed="false">
      <c r="A287" s="20" t="str">
        <f aca="false">IF(C287="","",ROW()-12)</f>
        <v/>
      </c>
      <c r="B287" s="21" t="str">
        <f aca="false">IF(C287="","",WORKDAY($C$5-1,A287,'NSE Holidays'!$A$5:$A$64))</f>
        <v/>
      </c>
      <c r="C287" s="22" t="str">
        <f aca="false">IF(C286="","",IF(OR(IF(ISNUMBER(G286),H286,F286)&gt;=$C$7,IF(ISNUMBER(G286),H286,F286)&lt;=0),"",IF(ISNUMBER(G286),H286,F286)))</f>
        <v/>
      </c>
      <c r="D287" s="22" t="str">
        <f aca="false">IF(C287="","",ROUND(C287*$C$8,2))</f>
        <v/>
      </c>
      <c r="E287" s="22" t="str">
        <f aca="false">IF(C287="","",ROUND(C287*$C$9,2))</f>
        <v/>
      </c>
      <c r="F287" s="22" t="str">
        <f aca="false">IF(C287="","",C287+D287)</f>
        <v/>
      </c>
      <c r="G287" s="23" t="str">
        <f aca="false">IF(OR(C287="",NOT(ISNUMBER(H287))),"",ROUND(H287-C287,2))</f>
        <v/>
      </c>
      <c r="H287" s="24"/>
      <c r="I287" s="25" t="str">
        <f aca="false">IF(C287="","",IF(ISNUMBER(G287),IF(G287&lt;-E287,"Actual – Loss (limit breached)",IF(G287&lt;0,"Actual – Loss",IF(G287&gt;0,"Actual – Profit","Actual – No trade"))),"Projection"))</f>
        <v/>
      </c>
      <c r="J287" s="26"/>
      <c r="K287" s="27"/>
    </row>
    <row r="288" customFormat="false" ht="15" hidden="false" customHeight="false" outlineLevel="0" collapsed="false">
      <c r="A288" s="20" t="str">
        <f aca="false">IF(C288="","",ROW()-12)</f>
        <v/>
      </c>
      <c r="B288" s="21" t="str">
        <f aca="false">IF(C288="","",WORKDAY($C$5-1,A288,'NSE Holidays'!$A$5:$A$64))</f>
        <v/>
      </c>
      <c r="C288" s="22" t="str">
        <f aca="false">IF(C287="","",IF(OR(IF(ISNUMBER(G287),H287,F287)&gt;=$C$7,IF(ISNUMBER(G287),H287,F287)&lt;=0),"",IF(ISNUMBER(G287),H287,F287)))</f>
        <v/>
      </c>
      <c r="D288" s="22" t="str">
        <f aca="false">IF(C288="","",ROUND(C288*$C$8,2))</f>
        <v/>
      </c>
      <c r="E288" s="22" t="str">
        <f aca="false">IF(C288="","",ROUND(C288*$C$9,2))</f>
        <v/>
      </c>
      <c r="F288" s="22" t="str">
        <f aca="false">IF(C288="","",C288+D288)</f>
        <v/>
      </c>
      <c r="G288" s="23" t="str">
        <f aca="false">IF(OR(C288="",NOT(ISNUMBER(H288))),"",ROUND(H288-C288,2))</f>
        <v/>
      </c>
      <c r="H288" s="24"/>
      <c r="I288" s="25" t="str">
        <f aca="false">IF(C288="","",IF(ISNUMBER(G288),IF(G288&lt;-E288,"Actual – Loss (limit breached)",IF(G288&lt;0,"Actual – Loss",IF(G288&gt;0,"Actual – Profit","Actual – No trade"))),"Projection"))</f>
        <v/>
      </c>
      <c r="J288" s="26"/>
      <c r="K288" s="27"/>
    </row>
    <row r="289" customFormat="false" ht="15" hidden="false" customHeight="false" outlineLevel="0" collapsed="false">
      <c r="A289" s="20" t="str">
        <f aca="false">IF(C289="","",ROW()-12)</f>
        <v/>
      </c>
      <c r="B289" s="21" t="str">
        <f aca="false">IF(C289="","",WORKDAY($C$5-1,A289,'NSE Holidays'!$A$5:$A$64))</f>
        <v/>
      </c>
      <c r="C289" s="22" t="str">
        <f aca="false">IF(C288="","",IF(OR(IF(ISNUMBER(G288),H288,F288)&gt;=$C$7,IF(ISNUMBER(G288),H288,F288)&lt;=0),"",IF(ISNUMBER(G288),H288,F288)))</f>
        <v/>
      </c>
      <c r="D289" s="22" t="str">
        <f aca="false">IF(C289="","",ROUND(C289*$C$8,2))</f>
        <v/>
      </c>
      <c r="E289" s="22" t="str">
        <f aca="false">IF(C289="","",ROUND(C289*$C$9,2))</f>
        <v/>
      </c>
      <c r="F289" s="22" t="str">
        <f aca="false">IF(C289="","",C289+D289)</f>
        <v/>
      </c>
      <c r="G289" s="23" t="str">
        <f aca="false">IF(OR(C289="",NOT(ISNUMBER(H289))),"",ROUND(H289-C289,2))</f>
        <v/>
      </c>
      <c r="H289" s="24"/>
      <c r="I289" s="25" t="str">
        <f aca="false">IF(C289="","",IF(ISNUMBER(G289),IF(G289&lt;-E289,"Actual – Loss (limit breached)",IF(G289&lt;0,"Actual – Loss",IF(G289&gt;0,"Actual – Profit","Actual – No trade"))),"Projection"))</f>
        <v/>
      </c>
      <c r="J289" s="26"/>
      <c r="K289" s="27"/>
    </row>
    <row r="290" customFormat="false" ht="15" hidden="false" customHeight="false" outlineLevel="0" collapsed="false">
      <c r="A290" s="20" t="str">
        <f aca="false">IF(C290="","",ROW()-12)</f>
        <v/>
      </c>
      <c r="B290" s="21" t="str">
        <f aca="false">IF(C290="","",WORKDAY($C$5-1,A290,'NSE Holidays'!$A$5:$A$64))</f>
        <v/>
      </c>
      <c r="C290" s="22" t="str">
        <f aca="false">IF(C289="","",IF(OR(IF(ISNUMBER(G289),H289,F289)&gt;=$C$7,IF(ISNUMBER(G289),H289,F289)&lt;=0),"",IF(ISNUMBER(G289),H289,F289)))</f>
        <v/>
      </c>
      <c r="D290" s="22" t="str">
        <f aca="false">IF(C290="","",ROUND(C290*$C$8,2))</f>
        <v/>
      </c>
      <c r="E290" s="22" t="str">
        <f aca="false">IF(C290="","",ROUND(C290*$C$9,2))</f>
        <v/>
      </c>
      <c r="F290" s="22" t="str">
        <f aca="false">IF(C290="","",C290+D290)</f>
        <v/>
      </c>
      <c r="G290" s="23" t="str">
        <f aca="false">IF(OR(C290="",NOT(ISNUMBER(H290))),"",ROUND(H290-C290,2))</f>
        <v/>
      </c>
      <c r="H290" s="24"/>
      <c r="I290" s="25" t="str">
        <f aca="false">IF(C290="","",IF(ISNUMBER(G290),IF(G290&lt;-E290,"Actual – Loss (limit breached)",IF(G290&lt;0,"Actual – Loss",IF(G290&gt;0,"Actual – Profit","Actual – No trade"))),"Projection"))</f>
        <v/>
      </c>
      <c r="J290" s="26"/>
      <c r="K290" s="27"/>
    </row>
    <row r="291" customFormat="false" ht="15" hidden="false" customHeight="false" outlineLevel="0" collapsed="false">
      <c r="A291" s="20" t="str">
        <f aca="false">IF(C291="","",ROW()-12)</f>
        <v/>
      </c>
      <c r="B291" s="21" t="str">
        <f aca="false">IF(C291="","",WORKDAY($C$5-1,A291,'NSE Holidays'!$A$5:$A$64))</f>
        <v/>
      </c>
      <c r="C291" s="22" t="str">
        <f aca="false">IF(C290="","",IF(OR(IF(ISNUMBER(G290),H290,F290)&gt;=$C$7,IF(ISNUMBER(G290),H290,F290)&lt;=0),"",IF(ISNUMBER(G290),H290,F290)))</f>
        <v/>
      </c>
      <c r="D291" s="22" t="str">
        <f aca="false">IF(C291="","",ROUND(C291*$C$8,2))</f>
        <v/>
      </c>
      <c r="E291" s="22" t="str">
        <f aca="false">IF(C291="","",ROUND(C291*$C$9,2))</f>
        <v/>
      </c>
      <c r="F291" s="22" t="str">
        <f aca="false">IF(C291="","",C291+D291)</f>
        <v/>
      </c>
      <c r="G291" s="23" t="str">
        <f aca="false">IF(OR(C291="",NOT(ISNUMBER(H291))),"",ROUND(H291-C291,2))</f>
        <v/>
      </c>
      <c r="H291" s="24"/>
      <c r="I291" s="25" t="str">
        <f aca="false">IF(C291="","",IF(ISNUMBER(G291),IF(G291&lt;-E291,"Actual – Loss (limit breached)",IF(G291&lt;0,"Actual – Loss",IF(G291&gt;0,"Actual – Profit","Actual – No trade"))),"Projection"))</f>
        <v/>
      </c>
      <c r="J291" s="26"/>
      <c r="K291" s="27"/>
    </row>
    <row r="292" customFormat="false" ht="15" hidden="false" customHeight="false" outlineLevel="0" collapsed="false">
      <c r="A292" s="20" t="str">
        <f aca="false">IF(C292="","",ROW()-12)</f>
        <v/>
      </c>
      <c r="B292" s="21" t="str">
        <f aca="false">IF(C292="","",WORKDAY($C$5-1,A292,'NSE Holidays'!$A$5:$A$64))</f>
        <v/>
      </c>
      <c r="C292" s="22" t="str">
        <f aca="false">IF(C291="","",IF(OR(IF(ISNUMBER(G291),H291,F291)&gt;=$C$7,IF(ISNUMBER(G291),H291,F291)&lt;=0),"",IF(ISNUMBER(G291),H291,F291)))</f>
        <v/>
      </c>
      <c r="D292" s="22" t="str">
        <f aca="false">IF(C292="","",ROUND(C292*$C$8,2))</f>
        <v/>
      </c>
      <c r="E292" s="22" t="str">
        <f aca="false">IF(C292="","",ROUND(C292*$C$9,2))</f>
        <v/>
      </c>
      <c r="F292" s="22" t="str">
        <f aca="false">IF(C292="","",C292+D292)</f>
        <v/>
      </c>
      <c r="G292" s="23" t="str">
        <f aca="false">IF(OR(C292="",NOT(ISNUMBER(H292))),"",ROUND(H292-C292,2))</f>
        <v/>
      </c>
      <c r="H292" s="24"/>
      <c r="I292" s="25" t="str">
        <f aca="false">IF(C292="","",IF(ISNUMBER(G292),IF(G292&lt;-E292,"Actual – Loss (limit breached)",IF(G292&lt;0,"Actual – Loss",IF(G292&gt;0,"Actual – Profit","Actual – No trade"))),"Projection"))</f>
        <v/>
      </c>
      <c r="J292" s="26"/>
      <c r="K292" s="27"/>
    </row>
    <row r="293" customFormat="false" ht="15" hidden="false" customHeight="false" outlineLevel="0" collapsed="false">
      <c r="A293" s="20" t="str">
        <f aca="false">IF(C293="","",ROW()-12)</f>
        <v/>
      </c>
      <c r="B293" s="21" t="str">
        <f aca="false">IF(C293="","",WORKDAY($C$5-1,A293,'NSE Holidays'!$A$5:$A$64))</f>
        <v/>
      </c>
      <c r="C293" s="22" t="str">
        <f aca="false">IF(C292="","",IF(OR(IF(ISNUMBER(G292),H292,F292)&gt;=$C$7,IF(ISNUMBER(G292),H292,F292)&lt;=0),"",IF(ISNUMBER(G292),H292,F292)))</f>
        <v/>
      </c>
      <c r="D293" s="22" t="str">
        <f aca="false">IF(C293="","",ROUND(C293*$C$8,2))</f>
        <v/>
      </c>
      <c r="E293" s="22" t="str">
        <f aca="false">IF(C293="","",ROUND(C293*$C$9,2))</f>
        <v/>
      </c>
      <c r="F293" s="22" t="str">
        <f aca="false">IF(C293="","",C293+D293)</f>
        <v/>
      </c>
      <c r="G293" s="23" t="str">
        <f aca="false">IF(OR(C293="",NOT(ISNUMBER(H293))),"",ROUND(H293-C293,2))</f>
        <v/>
      </c>
      <c r="H293" s="24"/>
      <c r="I293" s="25" t="str">
        <f aca="false">IF(C293="","",IF(ISNUMBER(G293),IF(G293&lt;-E293,"Actual – Loss (limit breached)",IF(G293&lt;0,"Actual – Loss",IF(G293&gt;0,"Actual – Profit","Actual – No trade"))),"Projection"))</f>
        <v/>
      </c>
      <c r="J293" s="26"/>
      <c r="K293" s="27"/>
    </row>
    <row r="294" customFormat="false" ht="15" hidden="false" customHeight="false" outlineLevel="0" collapsed="false">
      <c r="A294" s="20" t="str">
        <f aca="false">IF(C294="","",ROW()-12)</f>
        <v/>
      </c>
      <c r="B294" s="21" t="str">
        <f aca="false">IF(C294="","",WORKDAY($C$5-1,A294,'NSE Holidays'!$A$5:$A$64))</f>
        <v/>
      </c>
      <c r="C294" s="22" t="str">
        <f aca="false">IF(C293="","",IF(OR(IF(ISNUMBER(G293),H293,F293)&gt;=$C$7,IF(ISNUMBER(G293),H293,F293)&lt;=0),"",IF(ISNUMBER(G293),H293,F293)))</f>
        <v/>
      </c>
      <c r="D294" s="22" t="str">
        <f aca="false">IF(C294="","",ROUND(C294*$C$8,2))</f>
        <v/>
      </c>
      <c r="E294" s="22" t="str">
        <f aca="false">IF(C294="","",ROUND(C294*$C$9,2))</f>
        <v/>
      </c>
      <c r="F294" s="22" t="str">
        <f aca="false">IF(C294="","",C294+D294)</f>
        <v/>
      </c>
      <c r="G294" s="23" t="str">
        <f aca="false">IF(OR(C294="",NOT(ISNUMBER(H294))),"",ROUND(H294-C294,2))</f>
        <v/>
      </c>
      <c r="H294" s="24"/>
      <c r="I294" s="25" t="str">
        <f aca="false">IF(C294="","",IF(ISNUMBER(G294),IF(G294&lt;-E294,"Actual – Loss (limit breached)",IF(G294&lt;0,"Actual – Loss",IF(G294&gt;0,"Actual – Profit","Actual – No trade"))),"Projection"))</f>
        <v/>
      </c>
      <c r="J294" s="26"/>
      <c r="K294" s="27"/>
    </row>
    <row r="295" customFormat="false" ht="15" hidden="false" customHeight="false" outlineLevel="0" collapsed="false">
      <c r="A295" s="20" t="str">
        <f aca="false">IF(C295="","",ROW()-12)</f>
        <v/>
      </c>
      <c r="B295" s="21" t="str">
        <f aca="false">IF(C295="","",WORKDAY($C$5-1,A295,'NSE Holidays'!$A$5:$A$64))</f>
        <v/>
      </c>
      <c r="C295" s="22" t="str">
        <f aca="false">IF(C294="","",IF(OR(IF(ISNUMBER(G294),H294,F294)&gt;=$C$7,IF(ISNUMBER(G294),H294,F294)&lt;=0),"",IF(ISNUMBER(G294),H294,F294)))</f>
        <v/>
      </c>
      <c r="D295" s="22" t="str">
        <f aca="false">IF(C295="","",ROUND(C295*$C$8,2))</f>
        <v/>
      </c>
      <c r="E295" s="22" t="str">
        <f aca="false">IF(C295="","",ROUND(C295*$C$9,2))</f>
        <v/>
      </c>
      <c r="F295" s="22" t="str">
        <f aca="false">IF(C295="","",C295+D295)</f>
        <v/>
      </c>
      <c r="G295" s="23" t="str">
        <f aca="false">IF(OR(C295="",NOT(ISNUMBER(H295))),"",ROUND(H295-C295,2))</f>
        <v/>
      </c>
      <c r="H295" s="24"/>
      <c r="I295" s="25" t="str">
        <f aca="false">IF(C295="","",IF(ISNUMBER(G295),IF(G295&lt;-E295,"Actual – Loss (limit breached)",IF(G295&lt;0,"Actual – Loss",IF(G295&gt;0,"Actual – Profit","Actual – No trade"))),"Projection"))</f>
        <v/>
      </c>
      <c r="J295" s="26"/>
      <c r="K295" s="27"/>
    </row>
    <row r="296" customFormat="false" ht="15" hidden="false" customHeight="false" outlineLevel="0" collapsed="false">
      <c r="A296" s="20" t="str">
        <f aca="false">IF(C296="","",ROW()-12)</f>
        <v/>
      </c>
      <c r="B296" s="21" t="str">
        <f aca="false">IF(C296="","",WORKDAY($C$5-1,A296,'NSE Holidays'!$A$5:$A$64))</f>
        <v/>
      </c>
      <c r="C296" s="22" t="str">
        <f aca="false">IF(C295="","",IF(OR(IF(ISNUMBER(G295),H295,F295)&gt;=$C$7,IF(ISNUMBER(G295),H295,F295)&lt;=0),"",IF(ISNUMBER(G295),H295,F295)))</f>
        <v/>
      </c>
      <c r="D296" s="22" t="str">
        <f aca="false">IF(C296="","",ROUND(C296*$C$8,2))</f>
        <v/>
      </c>
      <c r="E296" s="22" t="str">
        <f aca="false">IF(C296="","",ROUND(C296*$C$9,2))</f>
        <v/>
      </c>
      <c r="F296" s="22" t="str">
        <f aca="false">IF(C296="","",C296+D296)</f>
        <v/>
      </c>
      <c r="G296" s="23" t="str">
        <f aca="false">IF(OR(C296="",NOT(ISNUMBER(H296))),"",ROUND(H296-C296,2))</f>
        <v/>
      </c>
      <c r="H296" s="24"/>
      <c r="I296" s="25" t="str">
        <f aca="false">IF(C296="","",IF(ISNUMBER(G296),IF(G296&lt;-E296,"Actual – Loss (limit breached)",IF(G296&lt;0,"Actual – Loss",IF(G296&gt;0,"Actual – Profit","Actual – No trade"))),"Projection"))</f>
        <v/>
      </c>
      <c r="J296" s="26"/>
      <c r="K296" s="27"/>
    </row>
    <row r="297" customFormat="false" ht="15" hidden="false" customHeight="false" outlineLevel="0" collapsed="false">
      <c r="A297" s="20" t="str">
        <f aca="false">IF(C297="","",ROW()-12)</f>
        <v/>
      </c>
      <c r="B297" s="21" t="str">
        <f aca="false">IF(C297="","",WORKDAY($C$5-1,A297,'NSE Holidays'!$A$5:$A$64))</f>
        <v/>
      </c>
      <c r="C297" s="22" t="str">
        <f aca="false">IF(C296="","",IF(OR(IF(ISNUMBER(G296),H296,F296)&gt;=$C$7,IF(ISNUMBER(G296),H296,F296)&lt;=0),"",IF(ISNUMBER(G296),H296,F296)))</f>
        <v/>
      </c>
      <c r="D297" s="22" t="str">
        <f aca="false">IF(C297="","",ROUND(C297*$C$8,2))</f>
        <v/>
      </c>
      <c r="E297" s="22" t="str">
        <f aca="false">IF(C297="","",ROUND(C297*$C$9,2))</f>
        <v/>
      </c>
      <c r="F297" s="22" t="str">
        <f aca="false">IF(C297="","",C297+D297)</f>
        <v/>
      </c>
      <c r="G297" s="23" t="str">
        <f aca="false">IF(OR(C297="",NOT(ISNUMBER(H297))),"",ROUND(H297-C297,2))</f>
        <v/>
      </c>
      <c r="H297" s="24"/>
      <c r="I297" s="25" t="str">
        <f aca="false">IF(C297="","",IF(ISNUMBER(G297),IF(G297&lt;-E297,"Actual – Loss (limit breached)",IF(G297&lt;0,"Actual – Loss",IF(G297&gt;0,"Actual – Profit","Actual – No trade"))),"Projection"))</f>
        <v/>
      </c>
      <c r="J297" s="26"/>
      <c r="K297" s="27"/>
    </row>
    <row r="298" customFormat="false" ht="15" hidden="false" customHeight="false" outlineLevel="0" collapsed="false">
      <c r="A298" s="20" t="str">
        <f aca="false">IF(C298="","",ROW()-12)</f>
        <v/>
      </c>
      <c r="B298" s="21" t="str">
        <f aca="false">IF(C298="","",WORKDAY($C$5-1,A298,'NSE Holidays'!$A$5:$A$64))</f>
        <v/>
      </c>
      <c r="C298" s="22" t="str">
        <f aca="false">IF(C297="","",IF(OR(IF(ISNUMBER(G297),H297,F297)&gt;=$C$7,IF(ISNUMBER(G297),H297,F297)&lt;=0),"",IF(ISNUMBER(G297),H297,F297)))</f>
        <v/>
      </c>
      <c r="D298" s="22" t="str">
        <f aca="false">IF(C298="","",ROUND(C298*$C$8,2))</f>
        <v/>
      </c>
      <c r="E298" s="22" t="str">
        <f aca="false">IF(C298="","",ROUND(C298*$C$9,2))</f>
        <v/>
      </c>
      <c r="F298" s="22" t="str">
        <f aca="false">IF(C298="","",C298+D298)</f>
        <v/>
      </c>
      <c r="G298" s="23" t="str">
        <f aca="false">IF(OR(C298="",NOT(ISNUMBER(H298))),"",ROUND(H298-C298,2))</f>
        <v/>
      </c>
      <c r="H298" s="24"/>
      <c r="I298" s="25" t="str">
        <f aca="false">IF(C298="","",IF(ISNUMBER(G298),IF(G298&lt;-E298,"Actual – Loss (limit breached)",IF(G298&lt;0,"Actual – Loss",IF(G298&gt;0,"Actual – Profit","Actual – No trade"))),"Projection"))</f>
        <v/>
      </c>
      <c r="J298" s="26"/>
      <c r="K298" s="27"/>
    </row>
    <row r="299" customFormat="false" ht="15" hidden="false" customHeight="false" outlineLevel="0" collapsed="false">
      <c r="A299" s="20" t="str">
        <f aca="false">IF(C299="","",ROW()-12)</f>
        <v/>
      </c>
      <c r="B299" s="21" t="str">
        <f aca="false">IF(C299="","",WORKDAY($C$5-1,A299,'NSE Holidays'!$A$5:$A$64))</f>
        <v/>
      </c>
      <c r="C299" s="22" t="str">
        <f aca="false">IF(C298="","",IF(OR(IF(ISNUMBER(G298),H298,F298)&gt;=$C$7,IF(ISNUMBER(G298),H298,F298)&lt;=0),"",IF(ISNUMBER(G298),H298,F298)))</f>
        <v/>
      </c>
      <c r="D299" s="22" t="str">
        <f aca="false">IF(C299="","",ROUND(C299*$C$8,2))</f>
        <v/>
      </c>
      <c r="E299" s="22" t="str">
        <f aca="false">IF(C299="","",ROUND(C299*$C$9,2))</f>
        <v/>
      </c>
      <c r="F299" s="22" t="str">
        <f aca="false">IF(C299="","",C299+D299)</f>
        <v/>
      </c>
      <c r="G299" s="23" t="str">
        <f aca="false">IF(OR(C299="",NOT(ISNUMBER(H299))),"",ROUND(H299-C299,2))</f>
        <v/>
      </c>
      <c r="H299" s="24"/>
      <c r="I299" s="25" t="str">
        <f aca="false">IF(C299="","",IF(ISNUMBER(G299),IF(G299&lt;-E299,"Actual – Loss (limit breached)",IF(G299&lt;0,"Actual – Loss",IF(G299&gt;0,"Actual – Profit","Actual – No trade"))),"Projection"))</f>
        <v/>
      </c>
      <c r="J299" s="26"/>
      <c r="K299" s="27"/>
    </row>
    <row r="300" customFormat="false" ht="15" hidden="false" customHeight="false" outlineLevel="0" collapsed="false">
      <c r="A300" s="20" t="str">
        <f aca="false">IF(C300="","",ROW()-12)</f>
        <v/>
      </c>
      <c r="B300" s="21" t="str">
        <f aca="false">IF(C300="","",WORKDAY($C$5-1,A300,'NSE Holidays'!$A$5:$A$64))</f>
        <v/>
      </c>
      <c r="C300" s="22" t="str">
        <f aca="false">IF(C299="","",IF(OR(IF(ISNUMBER(G299),H299,F299)&gt;=$C$7,IF(ISNUMBER(G299),H299,F299)&lt;=0),"",IF(ISNUMBER(G299),H299,F299)))</f>
        <v/>
      </c>
      <c r="D300" s="22" t="str">
        <f aca="false">IF(C300="","",ROUND(C300*$C$8,2))</f>
        <v/>
      </c>
      <c r="E300" s="22" t="str">
        <f aca="false">IF(C300="","",ROUND(C300*$C$9,2))</f>
        <v/>
      </c>
      <c r="F300" s="22" t="str">
        <f aca="false">IF(C300="","",C300+D300)</f>
        <v/>
      </c>
      <c r="G300" s="23" t="str">
        <f aca="false">IF(OR(C300="",NOT(ISNUMBER(H300))),"",ROUND(H300-C300,2))</f>
        <v/>
      </c>
      <c r="H300" s="24"/>
      <c r="I300" s="25" t="str">
        <f aca="false">IF(C300="","",IF(ISNUMBER(G300),IF(G300&lt;-E300,"Actual – Loss (limit breached)",IF(G300&lt;0,"Actual – Loss",IF(G300&gt;0,"Actual – Profit","Actual – No trade"))),"Projection"))</f>
        <v/>
      </c>
      <c r="J300" s="26"/>
      <c r="K300" s="27"/>
    </row>
    <row r="301" customFormat="false" ht="15" hidden="false" customHeight="false" outlineLevel="0" collapsed="false">
      <c r="A301" s="20" t="str">
        <f aca="false">IF(C301="","",ROW()-12)</f>
        <v/>
      </c>
      <c r="B301" s="21" t="str">
        <f aca="false">IF(C301="","",WORKDAY($C$5-1,A301,'NSE Holidays'!$A$5:$A$64))</f>
        <v/>
      </c>
      <c r="C301" s="22" t="str">
        <f aca="false">IF(C300="","",IF(OR(IF(ISNUMBER(G300),H300,F300)&gt;=$C$7,IF(ISNUMBER(G300),H300,F300)&lt;=0),"",IF(ISNUMBER(G300),H300,F300)))</f>
        <v/>
      </c>
      <c r="D301" s="22" t="str">
        <f aca="false">IF(C301="","",ROUND(C301*$C$8,2))</f>
        <v/>
      </c>
      <c r="E301" s="22" t="str">
        <f aca="false">IF(C301="","",ROUND(C301*$C$9,2))</f>
        <v/>
      </c>
      <c r="F301" s="22" t="str">
        <f aca="false">IF(C301="","",C301+D301)</f>
        <v/>
      </c>
      <c r="G301" s="23" t="str">
        <f aca="false">IF(OR(C301="",NOT(ISNUMBER(H301))),"",ROUND(H301-C301,2))</f>
        <v/>
      </c>
      <c r="H301" s="24"/>
      <c r="I301" s="25" t="str">
        <f aca="false">IF(C301="","",IF(ISNUMBER(G301),IF(G301&lt;-E301,"Actual – Loss (limit breached)",IF(G301&lt;0,"Actual – Loss",IF(G301&gt;0,"Actual – Profit","Actual – No trade"))),"Projection"))</f>
        <v/>
      </c>
      <c r="J301" s="26"/>
      <c r="K301" s="27"/>
    </row>
    <row r="302" customFormat="false" ht="15" hidden="false" customHeight="false" outlineLevel="0" collapsed="false">
      <c r="A302" s="20" t="str">
        <f aca="false">IF(C302="","",ROW()-12)</f>
        <v/>
      </c>
      <c r="B302" s="21" t="str">
        <f aca="false">IF(C302="","",WORKDAY($C$5-1,A302,'NSE Holidays'!$A$5:$A$64))</f>
        <v/>
      </c>
      <c r="C302" s="22" t="str">
        <f aca="false">IF(C301="","",IF(OR(IF(ISNUMBER(G301),H301,F301)&gt;=$C$7,IF(ISNUMBER(G301),H301,F301)&lt;=0),"",IF(ISNUMBER(G301),H301,F301)))</f>
        <v/>
      </c>
      <c r="D302" s="22" t="str">
        <f aca="false">IF(C302="","",ROUND(C302*$C$8,2))</f>
        <v/>
      </c>
      <c r="E302" s="22" t="str">
        <f aca="false">IF(C302="","",ROUND(C302*$C$9,2))</f>
        <v/>
      </c>
      <c r="F302" s="22" t="str">
        <f aca="false">IF(C302="","",C302+D302)</f>
        <v/>
      </c>
      <c r="G302" s="23" t="str">
        <f aca="false">IF(OR(C302="",NOT(ISNUMBER(H302))),"",ROUND(H302-C302,2))</f>
        <v/>
      </c>
      <c r="H302" s="24"/>
      <c r="I302" s="25" t="str">
        <f aca="false">IF(C302="","",IF(ISNUMBER(G302),IF(G302&lt;-E302,"Actual – Loss (limit breached)",IF(G302&lt;0,"Actual – Loss",IF(G302&gt;0,"Actual – Profit","Actual – No trade"))),"Projection"))</f>
        <v/>
      </c>
      <c r="J302" s="26"/>
      <c r="K302" s="27"/>
    </row>
    <row r="303" customFormat="false" ht="15" hidden="false" customHeight="false" outlineLevel="0" collapsed="false">
      <c r="A303" s="20" t="str">
        <f aca="false">IF(C303="","",ROW()-12)</f>
        <v/>
      </c>
      <c r="B303" s="21" t="str">
        <f aca="false">IF(C303="","",WORKDAY($C$5-1,A303,'NSE Holidays'!$A$5:$A$64))</f>
        <v/>
      </c>
      <c r="C303" s="22" t="str">
        <f aca="false">IF(C302="","",IF(OR(IF(ISNUMBER(G302),H302,F302)&gt;=$C$7,IF(ISNUMBER(G302),H302,F302)&lt;=0),"",IF(ISNUMBER(G302),H302,F302)))</f>
        <v/>
      </c>
      <c r="D303" s="22" t="str">
        <f aca="false">IF(C303="","",ROUND(C303*$C$8,2))</f>
        <v/>
      </c>
      <c r="E303" s="22" t="str">
        <f aca="false">IF(C303="","",ROUND(C303*$C$9,2))</f>
        <v/>
      </c>
      <c r="F303" s="22" t="str">
        <f aca="false">IF(C303="","",C303+D303)</f>
        <v/>
      </c>
      <c r="G303" s="23" t="str">
        <f aca="false">IF(OR(C303="",NOT(ISNUMBER(H303))),"",ROUND(H303-C303,2))</f>
        <v/>
      </c>
      <c r="H303" s="24"/>
      <c r="I303" s="25" t="str">
        <f aca="false">IF(C303="","",IF(ISNUMBER(G303),IF(G303&lt;-E303,"Actual – Loss (limit breached)",IF(G303&lt;0,"Actual – Loss",IF(G303&gt;0,"Actual – Profit","Actual – No trade"))),"Projection"))</f>
        <v/>
      </c>
      <c r="J303" s="26"/>
      <c r="K303" s="27"/>
    </row>
    <row r="304" customFormat="false" ht="15" hidden="false" customHeight="false" outlineLevel="0" collapsed="false">
      <c r="A304" s="20" t="str">
        <f aca="false">IF(C304="","",ROW()-12)</f>
        <v/>
      </c>
      <c r="B304" s="21" t="str">
        <f aca="false">IF(C304="","",WORKDAY($C$5-1,A304,'NSE Holidays'!$A$5:$A$64))</f>
        <v/>
      </c>
      <c r="C304" s="22" t="str">
        <f aca="false">IF(C303="","",IF(OR(IF(ISNUMBER(G303),H303,F303)&gt;=$C$7,IF(ISNUMBER(G303),H303,F303)&lt;=0),"",IF(ISNUMBER(G303),H303,F303)))</f>
        <v/>
      </c>
      <c r="D304" s="22" t="str">
        <f aca="false">IF(C304="","",ROUND(C304*$C$8,2))</f>
        <v/>
      </c>
      <c r="E304" s="22" t="str">
        <f aca="false">IF(C304="","",ROUND(C304*$C$9,2))</f>
        <v/>
      </c>
      <c r="F304" s="22" t="str">
        <f aca="false">IF(C304="","",C304+D304)</f>
        <v/>
      </c>
      <c r="G304" s="23" t="str">
        <f aca="false">IF(OR(C304="",NOT(ISNUMBER(H304))),"",ROUND(H304-C304,2))</f>
        <v/>
      </c>
      <c r="H304" s="24"/>
      <c r="I304" s="25" t="str">
        <f aca="false">IF(C304="","",IF(ISNUMBER(G304),IF(G304&lt;-E304,"Actual – Loss (limit breached)",IF(G304&lt;0,"Actual – Loss",IF(G304&gt;0,"Actual – Profit","Actual – No trade"))),"Projection"))</f>
        <v/>
      </c>
      <c r="J304" s="26"/>
      <c r="K304" s="27"/>
    </row>
    <row r="305" customFormat="false" ht="15" hidden="false" customHeight="false" outlineLevel="0" collapsed="false">
      <c r="A305" s="20" t="str">
        <f aca="false">IF(C305="","",ROW()-12)</f>
        <v/>
      </c>
      <c r="B305" s="21" t="str">
        <f aca="false">IF(C305="","",WORKDAY($C$5-1,A305,'NSE Holidays'!$A$5:$A$64))</f>
        <v/>
      </c>
      <c r="C305" s="22" t="str">
        <f aca="false">IF(C304="","",IF(OR(IF(ISNUMBER(G304),H304,F304)&gt;=$C$7,IF(ISNUMBER(G304),H304,F304)&lt;=0),"",IF(ISNUMBER(G304),H304,F304)))</f>
        <v/>
      </c>
      <c r="D305" s="22" t="str">
        <f aca="false">IF(C305="","",ROUND(C305*$C$8,2))</f>
        <v/>
      </c>
      <c r="E305" s="22" t="str">
        <f aca="false">IF(C305="","",ROUND(C305*$C$9,2))</f>
        <v/>
      </c>
      <c r="F305" s="22" t="str">
        <f aca="false">IF(C305="","",C305+D305)</f>
        <v/>
      </c>
      <c r="G305" s="23" t="str">
        <f aca="false">IF(OR(C305="",NOT(ISNUMBER(H305))),"",ROUND(H305-C305,2))</f>
        <v/>
      </c>
      <c r="H305" s="24"/>
      <c r="I305" s="25" t="str">
        <f aca="false">IF(C305="","",IF(ISNUMBER(G305),IF(G305&lt;-E305,"Actual – Loss (limit breached)",IF(G305&lt;0,"Actual – Loss",IF(G305&gt;0,"Actual – Profit","Actual – No trade"))),"Projection"))</f>
        <v/>
      </c>
      <c r="J305" s="26"/>
      <c r="K305" s="27"/>
    </row>
    <row r="306" customFormat="false" ht="15" hidden="false" customHeight="false" outlineLevel="0" collapsed="false">
      <c r="A306" s="20" t="str">
        <f aca="false">IF(C306="","",ROW()-12)</f>
        <v/>
      </c>
      <c r="B306" s="21" t="str">
        <f aca="false">IF(C306="","",WORKDAY($C$5-1,A306,'NSE Holidays'!$A$5:$A$64))</f>
        <v/>
      </c>
      <c r="C306" s="22" t="str">
        <f aca="false">IF(C305="","",IF(OR(IF(ISNUMBER(G305),H305,F305)&gt;=$C$7,IF(ISNUMBER(G305),H305,F305)&lt;=0),"",IF(ISNUMBER(G305),H305,F305)))</f>
        <v/>
      </c>
      <c r="D306" s="22" t="str">
        <f aca="false">IF(C306="","",ROUND(C306*$C$8,2))</f>
        <v/>
      </c>
      <c r="E306" s="22" t="str">
        <f aca="false">IF(C306="","",ROUND(C306*$C$9,2))</f>
        <v/>
      </c>
      <c r="F306" s="22" t="str">
        <f aca="false">IF(C306="","",C306+D306)</f>
        <v/>
      </c>
      <c r="G306" s="23" t="str">
        <f aca="false">IF(OR(C306="",NOT(ISNUMBER(H306))),"",ROUND(H306-C306,2))</f>
        <v/>
      </c>
      <c r="H306" s="24"/>
      <c r="I306" s="25" t="str">
        <f aca="false">IF(C306="","",IF(ISNUMBER(G306),IF(G306&lt;-E306,"Actual – Loss (limit breached)",IF(G306&lt;0,"Actual – Loss",IF(G306&gt;0,"Actual – Profit","Actual – No trade"))),"Projection"))</f>
        <v/>
      </c>
      <c r="J306" s="26"/>
      <c r="K306" s="27"/>
    </row>
    <row r="307" customFormat="false" ht="15" hidden="false" customHeight="false" outlineLevel="0" collapsed="false">
      <c r="A307" s="20" t="str">
        <f aca="false">IF(C307="","",ROW()-12)</f>
        <v/>
      </c>
      <c r="B307" s="21" t="str">
        <f aca="false">IF(C307="","",WORKDAY($C$5-1,A307,'NSE Holidays'!$A$5:$A$64))</f>
        <v/>
      </c>
      <c r="C307" s="22" t="str">
        <f aca="false">IF(C306="","",IF(OR(IF(ISNUMBER(G306),H306,F306)&gt;=$C$7,IF(ISNUMBER(G306),H306,F306)&lt;=0),"",IF(ISNUMBER(G306),H306,F306)))</f>
        <v/>
      </c>
      <c r="D307" s="22" t="str">
        <f aca="false">IF(C307="","",ROUND(C307*$C$8,2))</f>
        <v/>
      </c>
      <c r="E307" s="22" t="str">
        <f aca="false">IF(C307="","",ROUND(C307*$C$9,2))</f>
        <v/>
      </c>
      <c r="F307" s="22" t="str">
        <f aca="false">IF(C307="","",C307+D307)</f>
        <v/>
      </c>
      <c r="G307" s="23" t="str">
        <f aca="false">IF(OR(C307="",NOT(ISNUMBER(H307))),"",ROUND(H307-C307,2))</f>
        <v/>
      </c>
      <c r="H307" s="24"/>
      <c r="I307" s="25" t="str">
        <f aca="false">IF(C307="","",IF(ISNUMBER(G307),IF(G307&lt;-E307,"Actual – Loss (limit breached)",IF(G307&lt;0,"Actual – Loss",IF(G307&gt;0,"Actual – Profit","Actual – No trade"))),"Projection"))</f>
        <v/>
      </c>
      <c r="J307" s="26"/>
      <c r="K307" s="27"/>
    </row>
    <row r="308" customFormat="false" ht="15" hidden="false" customHeight="false" outlineLevel="0" collapsed="false">
      <c r="A308" s="20" t="str">
        <f aca="false">IF(C308="","",ROW()-12)</f>
        <v/>
      </c>
      <c r="B308" s="21" t="str">
        <f aca="false">IF(C308="","",WORKDAY($C$5-1,A308,'NSE Holidays'!$A$5:$A$64))</f>
        <v/>
      </c>
      <c r="C308" s="22" t="str">
        <f aca="false">IF(C307="","",IF(OR(IF(ISNUMBER(G307),H307,F307)&gt;=$C$7,IF(ISNUMBER(G307),H307,F307)&lt;=0),"",IF(ISNUMBER(G307),H307,F307)))</f>
        <v/>
      </c>
      <c r="D308" s="22" t="str">
        <f aca="false">IF(C308="","",ROUND(C308*$C$8,2))</f>
        <v/>
      </c>
      <c r="E308" s="22" t="str">
        <f aca="false">IF(C308="","",ROUND(C308*$C$9,2))</f>
        <v/>
      </c>
      <c r="F308" s="22" t="str">
        <f aca="false">IF(C308="","",C308+D308)</f>
        <v/>
      </c>
      <c r="G308" s="23" t="str">
        <f aca="false">IF(OR(C308="",NOT(ISNUMBER(H308))),"",ROUND(H308-C308,2))</f>
        <v/>
      </c>
      <c r="H308" s="24"/>
      <c r="I308" s="25" t="str">
        <f aca="false">IF(C308="","",IF(ISNUMBER(G308),IF(G308&lt;-E308,"Actual – Loss (limit breached)",IF(G308&lt;0,"Actual – Loss",IF(G308&gt;0,"Actual – Profit","Actual – No trade"))),"Projection"))</f>
        <v/>
      </c>
      <c r="J308" s="26"/>
      <c r="K308" s="27"/>
    </row>
    <row r="309" customFormat="false" ht="15" hidden="false" customHeight="false" outlineLevel="0" collapsed="false">
      <c r="A309" s="20" t="str">
        <f aca="false">IF(C309="","",ROW()-12)</f>
        <v/>
      </c>
      <c r="B309" s="21" t="str">
        <f aca="false">IF(C309="","",WORKDAY($C$5-1,A309,'NSE Holidays'!$A$5:$A$64))</f>
        <v/>
      </c>
      <c r="C309" s="22" t="str">
        <f aca="false">IF(C308="","",IF(OR(IF(ISNUMBER(G308),H308,F308)&gt;=$C$7,IF(ISNUMBER(G308),H308,F308)&lt;=0),"",IF(ISNUMBER(G308),H308,F308)))</f>
        <v/>
      </c>
      <c r="D309" s="22" t="str">
        <f aca="false">IF(C309="","",ROUND(C309*$C$8,2))</f>
        <v/>
      </c>
      <c r="E309" s="22" t="str">
        <f aca="false">IF(C309="","",ROUND(C309*$C$9,2))</f>
        <v/>
      </c>
      <c r="F309" s="22" t="str">
        <f aca="false">IF(C309="","",C309+D309)</f>
        <v/>
      </c>
      <c r="G309" s="23" t="str">
        <f aca="false">IF(OR(C309="",NOT(ISNUMBER(H309))),"",ROUND(H309-C309,2))</f>
        <v/>
      </c>
      <c r="H309" s="24"/>
      <c r="I309" s="25" t="str">
        <f aca="false">IF(C309="","",IF(ISNUMBER(G309),IF(G309&lt;-E309,"Actual – Loss (limit breached)",IF(G309&lt;0,"Actual – Loss",IF(G309&gt;0,"Actual – Profit","Actual – No trade"))),"Projection"))</f>
        <v/>
      </c>
      <c r="J309" s="26"/>
      <c r="K309" s="27"/>
    </row>
    <row r="310" customFormat="false" ht="15" hidden="false" customHeight="false" outlineLevel="0" collapsed="false">
      <c r="A310" s="20" t="str">
        <f aca="false">IF(C310="","",ROW()-12)</f>
        <v/>
      </c>
      <c r="B310" s="21" t="str">
        <f aca="false">IF(C310="","",WORKDAY($C$5-1,A310,'NSE Holidays'!$A$5:$A$64))</f>
        <v/>
      </c>
      <c r="C310" s="22" t="str">
        <f aca="false">IF(C309="","",IF(OR(IF(ISNUMBER(G309),H309,F309)&gt;=$C$7,IF(ISNUMBER(G309),H309,F309)&lt;=0),"",IF(ISNUMBER(G309),H309,F309)))</f>
        <v/>
      </c>
      <c r="D310" s="22" t="str">
        <f aca="false">IF(C310="","",ROUND(C310*$C$8,2))</f>
        <v/>
      </c>
      <c r="E310" s="22" t="str">
        <f aca="false">IF(C310="","",ROUND(C310*$C$9,2))</f>
        <v/>
      </c>
      <c r="F310" s="22" t="str">
        <f aca="false">IF(C310="","",C310+D310)</f>
        <v/>
      </c>
      <c r="G310" s="23" t="str">
        <f aca="false">IF(OR(C310="",NOT(ISNUMBER(H310))),"",ROUND(H310-C310,2))</f>
        <v/>
      </c>
      <c r="H310" s="24"/>
      <c r="I310" s="25" t="str">
        <f aca="false">IF(C310="","",IF(ISNUMBER(G310),IF(G310&lt;-E310,"Actual – Loss (limit breached)",IF(G310&lt;0,"Actual – Loss",IF(G310&gt;0,"Actual – Profit","Actual – No trade"))),"Projection"))</f>
        <v/>
      </c>
      <c r="J310" s="26"/>
      <c r="K310" s="27"/>
    </row>
    <row r="311" customFormat="false" ht="15" hidden="false" customHeight="false" outlineLevel="0" collapsed="false">
      <c r="A311" s="20" t="str">
        <f aca="false">IF(C311="","",ROW()-12)</f>
        <v/>
      </c>
      <c r="B311" s="21" t="str">
        <f aca="false">IF(C311="","",WORKDAY($C$5-1,A311,'NSE Holidays'!$A$5:$A$64))</f>
        <v/>
      </c>
      <c r="C311" s="22" t="str">
        <f aca="false">IF(C310="","",IF(OR(IF(ISNUMBER(G310),H310,F310)&gt;=$C$7,IF(ISNUMBER(G310),H310,F310)&lt;=0),"",IF(ISNUMBER(G310),H310,F310)))</f>
        <v/>
      </c>
      <c r="D311" s="22" t="str">
        <f aca="false">IF(C311="","",ROUND(C311*$C$8,2))</f>
        <v/>
      </c>
      <c r="E311" s="22" t="str">
        <f aca="false">IF(C311="","",ROUND(C311*$C$9,2))</f>
        <v/>
      </c>
      <c r="F311" s="22" t="str">
        <f aca="false">IF(C311="","",C311+D311)</f>
        <v/>
      </c>
      <c r="G311" s="23" t="str">
        <f aca="false">IF(OR(C311="",NOT(ISNUMBER(H311))),"",ROUND(H311-C311,2))</f>
        <v/>
      </c>
      <c r="H311" s="24"/>
      <c r="I311" s="25" t="str">
        <f aca="false">IF(C311="","",IF(ISNUMBER(G311),IF(G311&lt;-E311,"Actual – Loss (limit breached)",IF(G311&lt;0,"Actual – Loss",IF(G311&gt;0,"Actual – Profit","Actual – No trade"))),"Projection"))</f>
        <v/>
      </c>
      <c r="J311" s="26"/>
      <c r="K311" s="27"/>
    </row>
    <row r="312" customFormat="false" ht="15" hidden="false" customHeight="false" outlineLevel="0" collapsed="false">
      <c r="A312" s="20" t="str">
        <f aca="false">IF(C312="","",ROW()-12)</f>
        <v/>
      </c>
      <c r="B312" s="21" t="str">
        <f aca="false">IF(C312="","",WORKDAY($C$5-1,A312,'NSE Holidays'!$A$5:$A$64))</f>
        <v/>
      </c>
      <c r="C312" s="22" t="str">
        <f aca="false">IF(C311="","",IF(OR(IF(ISNUMBER(G311),H311,F311)&gt;=$C$7,IF(ISNUMBER(G311),H311,F311)&lt;=0),"",IF(ISNUMBER(G311),H311,F311)))</f>
        <v/>
      </c>
      <c r="D312" s="22" t="str">
        <f aca="false">IF(C312="","",ROUND(C312*$C$8,2))</f>
        <v/>
      </c>
      <c r="E312" s="22" t="str">
        <f aca="false">IF(C312="","",ROUND(C312*$C$9,2))</f>
        <v/>
      </c>
      <c r="F312" s="22" t="str">
        <f aca="false">IF(C312="","",C312+D312)</f>
        <v/>
      </c>
      <c r="G312" s="23" t="str">
        <f aca="false">IF(OR(C312="",NOT(ISNUMBER(H312))),"",ROUND(H312-C312,2))</f>
        <v/>
      </c>
      <c r="H312" s="24"/>
      <c r="I312" s="25" t="str">
        <f aca="false">IF(C312="","",IF(ISNUMBER(G312),IF(G312&lt;-E312,"Actual – Loss (limit breached)",IF(G312&lt;0,"Actual – Loss",IF(G312&gt;0,"Actual – Profit","Actual – No trade"))),"Projection"))</f>
        <v/>
      </c>
      <c r="J312" s="26"/>
      <c r="K312" s="27"/>
    </row>
    <row r="313" customFormat="false" ht="15" hidden="false" customHeight="false" outlineLevel="0" collapsed="false">
      <c r="A313" s="20" t="str">
        <f aca="false">IF(C313="","",ROW()-12)</f>
        <v/>
      </c>
      <c r="B313" s="21" t="str">
        <f aca="false">IF(C313="","",WORKDAY($C$5-1,A313,'NSE Holidays'!$A$5:$A$64))</f>
        <v/>
      </c>
      <c r="C313" s="22" t="str">
        <f aca="false">IF(C312="","",IF(OR(IF(ISNUMBER(G312),H312,F312)&gt;=$C$7,IF(ISNUMBER(G312),H312,F312)&lt;=0),"",IF(ISNUMBER(G312),H312,F312)))</f>
        <v/>
      </c>
      <c r="D313" s="22" t="str">
        <f aca="false">IF(C313="","",ROUND(C313*$C$8,2))</f>
        <v/>
      </c>
      <c r="E313" s="22" t="str">
        <f aca="false">IF(C313="","",ROUND(C313*$C$9,2))</f>
        <v/>
      </c>
      <c r="F313" s="22" t="str">
        <f aca="false">IF(C313="","",C313+D313)</f>
        <v/>
      </c>
      <c r="G313" s="23" t="str">
        <f aca="false">IF(OR(C313="",NOT(ISNUMBER(H313))),"",ROUND(H313-C313,2))</f>
        <v/>
      </c>
      <c r="H313" s="24"/>
      <c r="I313" s="25" t="str">
        <f aca="false">IF(C313="","",IF(ISNUMBER(G313),IF(G313&lt;-E313,"Actual – Loss (limit breached)",IF(G313&lt;0,"Actual – Loss",IF(G313&gt;0,"Actual – Profit","Actual – No trade"))),"Projection"))</f>
        <v/>
      </c>
      <c r="J313" s="26"/>
      <c r="K313" s="27"/>
    </row>
    <row r="314" customFormat="false" ht="15" hidden="false" customHeight="false" outlineLevel="0" collapsed="false">
      <c r="A314" s="20" t="str">
        <f aca="false">IF(C314="","",ROW()-12)</f>
        <v/>
      </c>
      <c r="B314" s="21" t="str">
        <f aca="false">IF(C314="","",WORKDAY($C$5-1,A314,'NSE Holidays'!$A$5:$A$64))</f>
        <v/>
      </c>
      <c r="C314" s="22" t="str">
        <f aca="false">IF(C313="","",IF(OR(IF(ISNUMBER(G313),H313,F313)&gt;=$C$7,IF(ISNUMBER(G313),H313,F313)&lt;=0),"",IF(ISNUMBER(G313),H313,F313)))</f>
        <v/>
      </c>
      <c r="D314" s="22" t="str">
        <f aca="false">IF(C314="","",ROUND(C314*$C$8,2))</f>
        <v/>
      </c>
      <c r="E314" s="22" t="str">
        <f aca="false">IF(C314="","",ROUND(C314*$C$9,2))</f>
        <v/>
      </c>
      <c r="F314" s="22" t="str">
        <f aca="false">IF(C314="","",C314+D314)</f>
        <v/>
      </c>
      <c r="G314" s="23" t="str">
        <f aca="false">IF(OR(C314="",NOT(ISNUMBER(H314))),"",ROUND(H314-C314,2))</f>
        <v/>
      </c>
      <c r="H314" s="24"/>
      <c r="I314" s="25" t="str">
        <f aca="false">IF(C314="","",IF(ISNUMBER(G314),IF(G314&lt;-E314,"Actual – Loss (limit breached)",IF(G314&lt;0,"Actual – Loss",IF(G314&gt;0,"Actual – Profit","Actual – No trade"))),"Projection"))</f>
        <v/>
      </c>
      <c r="J314" s="26"/>
      <c r="K314" s="27"/>
    </row>
    <row r="315" customFormat="false" ht="15" hidden="false" customHeight="false" outlineLevel="0" collapsed="false">
      <c r="A315" s="20" t="str">
        <f aca="false">IF(C315="","",ROW()-12)</f>
        <v/>
      </c>
      <c r="B315" s="21" t="str">
        <f aca="false">IF(C315="","",WORKDAY($C$5-1,A315,'NSE Holidays'!$A$5:$A$64))</f>
        <v/>
      </c>
      <c r="C315" s="22" t="str">
        <f aca="false">IF(C314="","",IF(OR(IF(ISNUMBER(G314),H314,F314)&gt;=$C$7,IF(ISNUMBER(G314),H314,F314)&lt;=0),"",IF(ISNUMBER(G314),H314,F314)))</f>
        <v/>
      </c>
      <c r="D315" s="22" t="str">
        <f aca="false">IF(C315="","",ROUND(C315*$C$8,2))</f>
        <v/>
      </c>
      <c r="E315" s="22" t="str">
        <f aca="false">IF(C315="","",ROUND(C315*$C$9,2))</f>
        <v/>
      </c>
      <c r="F315" s="22" t="str">
        <f aca="false">IF(C315="","",C315+D315)</f>
        <v/>
      </c>
      <c r="G315" s="23" t="str">
        <f aca="false">IF(OR(C315="",NOT(ISNUMBER(H315))),"",ROUND(H315-C315,2))</f>
        <v/>
      </c>
      <c r="H315" s="24"/>
      <c r="I315" s="25" t="str">
        <f aca="false">IF(C315="","",IF(ISNUMBER(G315),IF(G315&lt;-E315,"Actual – Loss (limit breached)",IF(G315&lt;0,"Actual – Loss",IF(G315&gt;0,"Actual – Profit","Actual – No trade"))),"Projection"))</f>
        <v/>
      </c>
      <c r="J315" s="26"/>
      <c r="K315" s="27"/>
    </row>
    <row r="316" customFormat="false" ht="15" hidden="false" customHeight="false" outlineLevel="0" collapsed="false">
      <c r="A316" s="20" t="str">
        <f aca="false">IF(C316="","",ROW()-12)</f>
        <v/>
      </c>
      <c r="B316" s="21" t="str">
        <f aca="false">IF(C316="","",WORKDAY($C$5-1,A316,'NSE Holidays'!$A$5:$A$64))</f>
        <v/>
      </c>
      <c r="C316" s="22" t="str">
        <f aca="false">IF(C315="","",IF(OR(IF(ISNUMBER(G315),H315,F315)&gt;=$C$7,IF(ISNUMBER(G315),H315,F315)&lt;=0),"",IF(ISNUMBER(G315),H315,F315)))</f>
        <v/>
      </c>
      <c r="D316" s="22" t="str">
        <f aca="false">IF(C316="","",ROUND(C316*$C$8,2))</f>
        <v/>
      </c>
      <c r="E316" s="22" t="str">
        <f aca="false">IF(C316="","",ROUND(C316*$C$9,2))</f>
        <v/>
      </c>
      <c r="F316" s="22" t="str">
        <f aca="false">IF(C316="","",C316+D316)</f>
        <v/>
      </c>
      <c r="G316" s="23" t="str">
        <f aca="false">IF(OR(C316="",NOT(ISNUMBER(H316))),"",ROUND(H316-C316,2))</f>
        <v/>
      </c>
      <c r="H316" s="24"/>
      <c r="I316" s="25" t="str">
        <f aca="false">IF(C316="","",IF(ISNUMBER(G316),IF(G316&lt;-E316,"Actual – Loss (limit breached)",IF(G316&lt;0,"Actual – Loss",IF(G316&gt;0,"Actual – Profit","Actual – No trade"))),"Projection"))</f>
        <v/>
      </c>
      <c r="J316" s="26"/>
      <c r="K316" s="27"/>
    </row>
    <row r="317" customFormat="false" ht="15" hidden="false" customHeight="false" outlineLevel="0" collapsed="false">
      <c r="A317" s="20" t="str">
        <f aca="false">IF(C317="","",ROW()-12)</f>
        <v/>
      </c>
      <c r="B317" s="21" t="str">
        <f aca="false">IF(C317="","",WORKDAY($C$5-1,A317,'NSE Holidays'!$A$5:$A$64))</f>
        <v/>
      </c>
      <c r="C317" s="22" t="str">
        <f aca="false">IF(C316="","",IF(OR(IF(ISNUMBER(G316),H316,F316)&gt;=$C$7,IF(ISNUMBER(G316),H316,F316)&lt;=0),"",IF(ISNUMBER(G316),H316,F316)))</f>
        <v/>
      </c>
      <c r="D317" s="22" t="str">
        <f aca="false">IF(C317="","",ROUND(C317*$C$8,2))</f>
        <v/>
      </c>
      <c r="E317" s="22" t="str">
        <f aca="false">IF(C317="","",ROUND(C317*$C$9,2))</f>
        <v/>
      </c>
      <c r="F317" s="22" t="str">
        <f aca="false">IF(C317="","",C317+D317)</f>
        <v/>
      </c>
      <c r="G317" s="23" t="str">
        <f aca="false">IF(OR(C317="",NOT(ISNUMBER(H317))),"",ROUND(H317-C317,2))</f>
        <v/>
      </c>
      <c r="H317" s="24"/>
      <c r="I317" s="25" t="str">
        <f aca="false">IF(C317="","",IF(ISNUMBER(G317),IF(G317&lt;-E317,"Actual – Loss (limit breached)",IF(G317&lt;0,"Actual – Loss",IF(G317&gt;0,"Actual – Profit","Actual – No trade"))),"Projection"))</f>
        <v/>
      </c>
      <c r="J317" s="26"/>
      <c r="K317" s="27"/>
    </row>
    <row r="318" customFormat="false" ht="15" hidden="false" customHeight="false" outlineLevel="0" collapsed="false">
      <c r="A318" s="20" t="str">
        <f aca="false">IF(C318="","",ROW()-12)</f>
        <v/>
      </c>
      <c r="B318" s="21" t="str">
        <f aca="false">IF(C318="","",WORKDAY($C$5-1,A318,'NSE Holidays'!$A$5:$A$64))</f>
        <v/>
      </c>
      <c r="C318" s="22" t="str">
        <f aca="false">IF(C317="","",IF(OR(IF(ISNUMBER(G317),H317,F317)&gt;=$C$7,IF(ISNUMBER(G317),H317,F317)&lt;=0),"",IF(ISNUMBER(G317),H317,F317)))</f>
        <v/>
      </c>
      <c r="D318" s="22" t="str">
        <f aca="false">IF(C318="","",ROUND(C318*$C$8,2))</f>
        <v/>
      </c>
      <c r="E318" s="22" t="str">
        <f aca="false">IF(C318="","",ROUND(C318*$C$9,2))</f>
        <v/>
      </c>
      <c r="F318" s="22" t="str">
        <f aca="false">IF(C318="","",C318+D318)</f>
        <v/>
      </c>
      <c r="G318" s="23" t="str">
        <f aca="false">IF(OR(C318="",NOT(ISNUMBER(H318))),"",ROUND(H318-C318,2))</f>
        <v/>
      </c>
      <c r="H318" s="24"/>
      <c r="I318" s="25" t="str">
        <f aca="false">IF(C318="","",IF(ISNUMBER(G318),IF(G318&lt;-E318,"Actual – Loss (limit breached)",IF(G318&lt;0,"Actual – Loss",IF(G318&gt;0,"Actual – Profit","Actual – No trade"))),"Projection"))</f>
        <v/>
      </c>
      <c r="J318" s="26"/>
      <c r="K318" s="27"/>
    </row>
    <row r="319" customFormat="false" ht="15" hidden="false" customHeight="false" outlineLevel="0" collapsed="false">
      <c r="A319" s="20" t="str">
        <f aca="false">IF(C319="","",ROW()-12)</f>
        <v/>
      </c>
      <c r="B319" s="21" t="str">
        <f aca="false">IF(C319="","",WORKDAY($C$5-1,A319,'NSE Holidays'!$A$5:$A$64))</f>
        <v/>
      </c>
      <c r="C319" s="22" t="str">
        <f aca="false">IF(C318="","",IF(OR(IF(ISNUMBER(G318),H318,F318)&gt;=$C$7,IF(ISNUMBER(G318),H318,F318)&lt;=0),"",IF(ISNUMBER(G318),H318,F318)))</f>
        <v/>
      </c>
      <c r="D319" s="22" t="str">
        <f aca="false">IF(C319="","",ROUND(C319*$C$8,2))</f>
        <v/>
      </c>
      <c r="E319" s="22" t="str">
        <f aca="false">IF(C319="","",ROUND(C319*$C$9,2))</f>
        <v/>
      </c>
      <c r="F319" s="22" t="str">
        <f aca="false">IF(C319="","",C319+D319)</f>
        <v/>
      </c>
      <c r="G319" s="23" t="str">
        <f aca="false">IF(OR(C319="",NOT(ISNUMBER(H319))),"",ROUND(H319-C319,2))</f>
        <v/>
      </c>
      <c r="H319" s="24"/>
      <c r="I319" s="25" t="str">
        <f aca="false">IF(C319="","",IF(ISNUMBER(G319),IF(G319&lt;-E319,"Actual – Loss (limit breached)",IF(G319&lt;0,"Actual – Loss",IF(G319&gt;0,"Actual – Profit","Actual – No trade"))),"Projection"))</f>
        <v/>
      </c>
      <c r="J319" s="26"/>
      <c r="K319" s="27"/>
    </row>
    <row r="320" customFormat="false" ht="15" hidden="false" customHeight="false" outlineLevel="0" collapsed="false">
      <c r="A320" s="20" t="str">
        <f aca="false">IF(C320="","",ROW()-12)</f>
        <v/>
      </c>
      <c r="B320" s="21" t="str">
        <f aca="false">IF(C320="","",WORKDAY($C$5-1,A320,'NSE Holidays'!$A$5:$A$64))</f>
        <v/>
      </c>
      <c r="C320" s="22" t="str">
        <f aca="false">IF(C319="","",IF(OR(IF(ISNUMBER(G319),H319,F319)&gt;=$C$7,IF(ISNUMBER(G319),H319,F319)&lt;=0),"",IF(ISNUMBER(G319),H319,F319)))</f>
        <v/>
      </c>
      <c r="D320" s="22" t="str">
        <f aca="false">IF(C320="","",ROUND(C320*$C$8,2))</f>
        <v/>
      </c>
      <c r="E320" s="22" t="str">
        <f aca="false">IF(C320="","",ROUND(C320*$C$9,2))</f>
        <v/>
      </c>
      <c r="F320" s="22" t="str">
        <f aca="false">IF(C320="","",C320+D320)</f>
        <v/>
      </c>
      <c r="G320" s="23" t="str">
        <f aca="false">IF(OR(C320="",NOT(ISNUMBER(H320))),"",ROUND(H320-C320,2))</f>
        <v/>
      </c>
      <c r="H320" s="24"/>
      <c r="I320" s="25" t="str">
        <f aca="false">IF(C320="","",IF(ISNUMBER(G320),IF(G320&lt;-E320,"Actual – Loss (limit breached)",IF(G320&lt;0,"Actual – Loss",IF(G320&gt;0,"Actual – Profit","Actual – No trade"))),"Projection"))</f>
        <v/>
      </c>
      <c r="J320" s="26"/>
      <c r="K320" s="27"/>
    </row>
    <row r="321" customFormat="false" ht="15" hidden="false" customHeight="false" outlineLevel="0" collapsed="false">
      <c r="A321" s="20" t="str">
        <f aca="false">IF(C321="","",ROW()-12)</f>
        <v/>
      </c>
      <c r="B321" s="21" t="str">
        <f aca="false">IF(C321="","",WORKDAY($C$5-1,A321,'NSE Holidays'!$A$5:$A$64))</f>
        <v/>
      </c>
      <c r="C321" s="22" t="str">
        <f aca="false">IF(C320="","",IF(OR(IF(ISNUMBER(G320),H320,F320)&gt;=$C$7,IF(ISNUMBER(G320),H320,F320)&lt;=0),"",IF(ISNUMBER(G320),H320,F320)))</f>
        <v/>
      </c>
      <c r="D321" s="22" t="str">
        <f aca="false">IF(C321="","",ROUND(C321*$C$8,2))</f>
        <v/>
      </c>
      <c r="E321" s="22" t="str">
        <f aca="false">IF(C321="","",ROUND(C321*$C$9,2))</f>
        <v/>
      </c>
      <c r="F321" s="22" t="str">
        <f aca="false">IF(C321="","",C321+D321)</f>
        <v/>
      </c>
      <c r="G321" s="23" t="str">
        <f aca="false">IF(OR(C321="",NOT(ISNUMBER(H321))),"",ROUND(H321-C321,2))</f>
        <v/>
      </c>
      <c r="H321" s="24"/>
      <c r="I321" s="25" t="str">
        <f aca="false">IF(C321="","",IF(ISNUMBER(G321),IF(G321&lt;-E321,"Actual – Loss (limit breached)",IF(G321&lt;0,"Actual – Loss",IF(G321&gt;0,"Actual – Profit","Actual – No trade"))),"Projection"))</f>
        <v/>
      </c>
      <c r="J321" s="26"/>
      <c r="K321" s="27"/>
    </row>
    <row r="322" customFormat="false" ht="15" hidden="false" customHeight="false" outlineLevel="0" collapsed="false">
      <c r="A322" s="20" t="str">
        <f aca="false">IF(C322="","",ROW()-12)</f>
        <v/>
      </c>
      <c r="B322" s="21" t="str">
        <f aca="false">IF(C322="","",WORKDAY($C$5-1,A322,'NSE Holidays'!$A$5:$A$64))</f>
        <v/>
      </c>
      <c r="C322" s="22" t="str">
        <f aca="false">IF(C321="","",IF(OR(IF(ISNUMBER(G321),H321,F321)&gt;=$C$7,IF(ISNUMBER(G321),H321,F321)&lt;=0),"",IF(ISNUMBER(G321),H321,F321)))</f>
        <v/>
      </c>
      <c r="D322" s="22" t="str">
        <f aca="false">IF(C322="","",ROUND(C322*$C$8,2))</f>
        <v/>
      </c>
      <c r="E322" s="22" t="str">
        <f aca="false">IF(C322="","",ROUND(C322*$C$9,2))</f>
        <v/>
      </c>
      <c r="F322" s="22" t="str">
        <f aca="false">IF(C322="","",C322+D322)</f>
        <v/>
      </c>
      <c r="G322" s="23" t="str">
        <f aca="false">IF(OR(C322="",NOT(ISNUMBER(H322))),"",ROUND(H322-C322,2))</f>
        <v/>
      </c>
      <c r="H322" s="24"/>
      <c r="I322" s="25" t="str">
        <f aca="false">IF(C322="","",IF(ISNUMBER(G322),IF(G322&lt;-E322,"Actual – Loss (limit breached)",IF(G322&lt;0,"Actual – Loss",IF(G322&gt;0,"Actual – Profit","Actual – No trade"))),"Projection"))</f>
        <v/>
      </c>
      <c r="J322" s="26"/>
      <c r="K322" s="27"/>
    </row>
    <row r="323" customFormat="false" ht="15" hidden="false" customHeight="false" outlineLevel="0" collapsed="false">
      <c r="A323" s="20" t="str">
        <f aca="false">IF(C323="","",ROW()-12)</f>
        <v/>
      </c>
      <c r="B323" s="21" t="str">
        <f aca="false">IF(C323="","",WORKDAY($C$5-1,A323,'NSE Holidays'!$A$5:$A$64))</f>
        <v/>
      </c>
      <c r="C323" s="22" t="str">
        <f aca="false">IF(C322="","",IF(OR(IF(ISNUMBER(G322),H322,F322)&gt;=$C$7,IF(ISNUMBER(G322),H322,F322)&lt;=0),"",IF(ISNUMBER(G322),H322,F322)))</f>
        <v/>
      </c>
      <c r="D323" s="22" t="str">
        <f aca="false">IF(C323="","",ROUND(C323*$C$8,2))</f>
        <v/>
      </c>
      <c r="E323" s="22" t="str">
        <f aca="false">IF(C323="","",ROUND(C323*$C$9,2))</f>
        <v/>
      </c>
      <c r="F323" s="22" t="str">
        <f aca="false">IF(C323="","",C323+D323)</f>
        <v/>
      </c>
      <c r="G323" s="23" t="str">
        <f aca="false">IF(OR(C323="",NOT(ISNUMBER(H323))),"",ROUND(H323-C323,2))</f>
        <v/>
      </c>
      <c r="H323" s="24"/>
      <c r="I323" s="25" t="str">
        <f aca="false">IF(C323="","",IF(ISNUMBER(G323),IF(G323&lt;-E323,"Actual – Loss (limit breached)",IF(G323&lt;0,"Actual – Loss",IF(G323&gt;0,"Actual – Profit","Actual – No trade"))),"Projection"))</f>
        <v/>
      </c>
      <c r="J323" s="26"/>
      <c r="K323" s="27"/>
    </row>
    <row r="324" customFormat="false" ht="15" hidden="false" customHeight="false" outlineLevel="0" collapsed="false">
      <c r="A324" s="20" t="str">
        <f aca="false">IF(C324="","",ROW()-12)</f>
        <v/>
      </c>
      <c r="B324" s="21" t="str">
        <f aca="false">IF(C324="","",WORKDAY($C$5-1,A324,'NSE Holidays'!$A$5:$A$64))</f>
        <v/>
      </c>
      <c r="C324" s="22" t="str">
        <f aca="false">IF(C323="","",IF(OR(IF(ISNUMBER(G323),H323,F323)&gt;=$C$7,IF(ISNUMBER(G323),H323,F323)&lt;=0),"",IF(ISNUMBER(G323),H323,F323)))</f>
        <v/>
      </c>
      <c r="D324" s="22" t="str">
        <f aca="false">IF(C324="","",ROUND(C324*$C$8,2))</f>
        <v/>
      </c>
      <c r="E324" s="22" t="str">
        <f aca="false">IF(C324="","",ROUND(C324*$C$9,2))</f>
        <v/>
      </c>
      <c r="F324" s="22" t="str">
        <f aca="false">IF(C324="","",C324+D324)</f>
        <v/>
      </c>
      <c r="G324" s="23" t="str">
        <f aca="false">IF(OR(C324="",NOT(ISNUMBER(H324))),"",ROUND(H324-C324,2))</f>
        <v/>
      </c>
      <c r="H324" s="24"/>
      <c r="I324" s="25" t="str">
        <f aca="false">IF(C324="","",IF(ISNUMBER(G324),IF(G324&lt;-E324,"Actual – Loss (limit breached)",IF(G324&lt;0,"Actual – Loss",IF(G324&gt;0,"Actual – Profit","Actual – No trade"))),"Projection"))</f>
        <v/>
      </c>
      <c r="J324" s="26"/>
      <c r="K324" s="27"/>
    </row>
    <row r="325" customFormat="false" ht="15" hidden="false" customHeight="false" outlineLevel="0" collapsed="false">
      <c r="A325" s="20" t="str">
        <f aca="false">IF(C325="","",ROW()-12)</f>
        <v/>
      </c>
      <c r="B325" s="21" t="str">
        <f aca="false">IF(C325="","",WORKDAY($C$5-1,A325,'NSE Holidays'!$A$5:$A$64))</f>
        <v/>
      </c>
      <c r="C325" s="22" t="str">
        <f aca="false">IF(C324="","",IF(OR(IF(ISNUMBER(G324),H324,F324)&gt;=$C$7,IF(ISNUMBER(G324),H324,F324)&lt;=0),"",IF(ISNUMBER(G324),H324,F324)))</f>
        <v/>
      </c>
      <c r="D325" s="22" t="str">
        <f aca="false">IF(C325="","",ROUND(C325*$C$8,2))</f>
        <v/>
      </c>
      <c r="E325" s="22" t="str">
        <f aca="false">IF(C325="","",ROUND(C325*$C$9,2))</f>
        <v/>
      </c>
      <c r="F325" s="22" t="str">
        <f aca="false">IF(C325="","",C325+D325)</f>
        <v/>
      </c>
      <c r="G325" s="23" t="str">
        <f aca="false">IF(OR(C325="",NOT(ISNUMBER(H325))),"",ROUND(H325-C325,2))</f>
        <v/>
      </c>
      <c r="H325" s="24"/>
      <c r="I325" s="25" t="str">
        <f aca="false">IF(C325="","",IF(ISNUMBER(G325),IF(G325&lt;-E325,"Actual – Loss (limit breached)",IF(G325&lt;0,"Actual – Loss",IF(G325&gt;0,"Actual – Profit","Actual – No trade"))),"Projection"))</f>
        <v/>
      </c>
      <c r="J325" s="26"/>
      <c r="K325" s="27"/>
    </row>
    <row r="326" customFormat="false" ht="15" hidden="false" customHeight="false" outlineLevel="0" collapsed="false">
      <c r="A326" s="20" t="str">
        <f aca="false">IF(C326="","",ROW()-12)</f>
        <v/>
      </c>
      <c r="B326" s="21" t="str">
        <f aca="false">IF(C326="","",WORKDAY($C$5-1,A326,'NSE Holidays'!$A$5:$A$64))</f>
        <v/>
      </c>
      <c r="C326" s="22" t="str">
        <f aca="false">IF(C325="","",IF(OR(IF(ISNUMBER(G325),H325,F325)&gt;=$C$7,IF(ISNUMBER(G325),H325,F325)&lt;=0),"",IF(ISNUMBER(G325),H325,F325)))</f>
        <v/>
      </c>
      <c r="D326" s="22" t="str">
        <f aca="false">IF(C326="","",ROUND(C326*$C$8,2))</f>
        <v/>
      </c>
      <c r="E326" s="22" t="str">
        <f aca="false">IF(C326="","",ROUND(C326*$C$9,2))</f>
        <v/>
      </c>
      <c r="F326" s="22" t="str">
        <f aca="false">IF(C326="","",C326+D326)</f>
        <v/>
      </c>
      <c r="G326" s="23" t="str">
        <f aca="false">IF(OR(C326="",NOT(ISNUMBER(H326))),"",ROUND(H326-C326,2))</f>
        <v/>
      </c>
      <c r="H326" s="24"/>
      <c r="I326" s="25" t="str">
        <f aca="false">IF(C326="","",IF(ISNUMBER(G326),IF(G326&lt;-E326,"Actual – Loss (limit breached)",IF(G326&lt;0,"Actual – Loss",IF(G326&gt;0,"Actual – Profit","Actual – No trade"))),"Projection"))</f>
        <v/>
      </c>
      <c r="J326" s="26"/>
      <c r="K326" s="27"/>
    </row>
    <row r="327" customFormat="false" ht="15" hidden="false" customHeight="false" outlineLevel="0" collapsed="false">
      <c r="A327" s="20" t="str">
        <f aca="false">IF(C327="","",ROW()-12)</f>
        <v/>
      </c>
      <c r="B327" s="21" t="str">
        <f aca="false">IF(C327="","",WORKDAY($C$5-1,A327,'NSE Holidays'!$A$5:$A$64))</f>
        <v/>
      </c>
      <c r="C327" s="22" t="str">
        <f aca="false">IF(C326="","",IF(OR(IF(ISNUMBER(G326),H326,F326)&gt;=$C$7,IF(ISNUMBER(G326),H326,F326)&lt;=0),"",IF(ISNUMBER(G326),H326,F326)))</f>
        <v/>
      </c>
      <c r="D327" s="22" t="str">
        <f aca="false">IF(C327="","",ROUND(C327*$C$8,2))</f>
        <v/>
      </c>
      <c r="E327" s="22" t="str">
        <f aca="false">IF(C327="","",ROUND(C327*$C$9,2))</f>
        <v/>
      </c>
      <c r="F327" s="22" t="str">
        <f aca="false">IF(C327="","",C327+D327)</f>
        <v/>
      </c>
      <c r="G327" s="23" t="str">
        <f aca="false">IF(OR(C327="",NOT(ISNUMBER(H327))),"",ROUND(H327-C327,2))</f>
        <v/>
      </c>
      <c r="H327" s="24"/>
      <c r="I327" s="25" t="str">
        <f aca="false">IF(C327="","",IF(ISNUMBER(G327),IF(G327&lt;-E327,"Actual – Loss (limit breached)",IF(G327&lt;0,"Actual – Loss",IF(G327&gt;0,"Actual – Profit","Actual – No trade"))),"Projection"))</f>
        <v/>
      </c>
      <c r="J327" s="26"/>
      <c r="K327" s="27"/>
    </row>
    <row r="328" customFormat="false" ht="15" hidden="false" customHeight="false" outlineLevel="0" collapsed="false">
      <c r="A328" s="20" t="str">
        <f aca="false">IF(C328="","",ROW()-12)</f>
        <v/>
      </c>
      <c r="B328" s="21" t="str">
        <f aca="false">IF(C328="","",WORKDAY($C$5-1,A328,'NSE Holidays'!$A$5:$A$64))</f>
        <v/>
      </c>
      <c r="C328" s="22" t="str">
        <f aca="false">IF(C327="","",IF(OR(IF(ISNUMBER(G327),H327,F327)&gt;=$C$7,IF(ISNUMBER(G327),H327,F327)&lt;=0),"",IF(ISNUMBER(G327),H327,F327)))</f>
        <v/>
      </c>
      <c r="D328" s="22" t="str">
        <f aca="false">IF(C328="","",ROUND(C328*$C$8,2))</f>
        <v/>
      </c>
      <c r="E328" s="22" t="str">
        <f aca="false">IF(C328="","",ROUND(C328*$C$9,2))</f>
        <v/>
      </c>
      <c r="F328" s="22" t="str">
        <f aca="false">IF(C328="","",C328+D328)</f>
        <v/>
      </c>
      <c r="G328" s="23" t="str">
        <f aca="false">IF(OR(C328="",NOT(ISNUMBER(H328))),"",ROUND(H328-C328,2))</f>
        <v/>
      </c>
      <c r="H328" s="24"/>
      <c r="I328" s="25" t="str">
        <f aca="false">IF(C328="","",IF(ISNUMBER(G328),IF(G328&lt;-E328,"Actual – Loss (limit breached)",IF(G328&lt;0,"Actual – Loss",IF(G328&gt;0,"Actual – Profit","Actual – No trade"))),"Projection"))</f>
        <v/>
      </c>
      <c r="J328" s="26"/>
      <c r="K328" s="27"/>
    </row>
    <row r="329" customFormat="false" ht="15" hidden="false" customHeight="false" outlineLevel="0" collapsed="false">
      <c r="A329" s="20" t="str">
        <f aca="false">IF(C329="","",ROW()-12)</f>
        <v/>
      </c>
      <c r="B329" s="21" t="str">
        <f aca="false">IF(C329="","",WORKDAY($C$5-1,A329,'NSE Holidays'!$A$5:$A$64))</f>
        <v/>
      </c>
      <c r="C329" s="22" t="str">
        <f aca="false">IF(C328="","",IF(OR(IF(ISNUMBER(G328),H328,F328)&gt;=$C$7,IF(ISNUMBER(G328),H328,F328)&lt;=0),"",IF(ISNUMBER(G328),H328,F328)))</f>
        <v/>
      </c>
      <c r="D329" s="22" t="str">
        <f aca="false">IF(C329="","",ROUND(C329*$C$8,2))</f>
        <v/>
      </c>
      <c r="E329" s="22" t="str">
        <f aca="false">IF(C329="","",ROUND(C329*$C$9,2))</f>
        <v/>
      </c>
      <c r="F329" s="22" t="str">
        <f aca="false">IF(C329="","",C329+D329)</f>
        <v/>
      </c>
      <c r="G329" s="23" t="str">
        <f aca="false">IF(OR(C329="",NOT(ISNUMBER(H329))),"",ROUND(H329-C329,2))</f>
        <v/>
      </c>
      <c r="H329" s="24"/>
      <c r="I329" s="25" t="str">
        <f aca="false">IF(C329="","",IF(ISNUMBER(G329),IF(G329&lt;-E329,"Actual – Loss (limit breached)",IF(G329&lt;0,"Actual – Loss",IF(G329&gt;0,"Actual – Profit","Actual – No trade"))),"Projection"))</f>
        <v/>
      </c>
      <c r="J329" s="26"/>
      <c r="K329" s="27"/>
    </row>
    <row r="330" customFormat="false" ht="15" hidden="false" customHeight="false" outlineLevel="0" collapsed="false">
      <c r="A330" s="20" t="str">
        <f aca="false">IF(C330="","",ROW()-12)</f>
        <v/>
      </c>
      <c r="B330" s="21" t="str">
        <f aca="false">IF(C330="","",WORKDAY($C$5-1,A330,'NSE Holidays'!$A$5:$A$64))</f>
        <v/>
      </c>
      <c r="C330" s="22" t="str">
        <f aca="false">IF(C329="","",IF(OR(IF(ISNUMBER(G329),H329,F329)&gt;=$C$7,IF(ISNUMBER(G329),H329,F329)&lt;=0),"",IF(ISNUMBER(G329),H329,F329)))</f>
        <v/>
      </c>
      <c r="D330" s="22" t="str">
        <f aca="false">IF(C330="","",ROUND(C330*$C$8,2))</f>
        <v/>
      </c>
      <c r="E330" s="22" t="str">
        <f aca="false">IF(C330="","",ROUND(C330*$C$9,2))</f>
        <v/>
      </c>
      <c r="F330" s="22" t="str">
        <f aca="false">IF(C330="","",C330+D330)</f>
        <v/>
      </c>
      <c r="G330" s="23" t="str">
        <f aca="false">IF(OR(C330="",NOT(ISNUMBER(H330))),"",ROUND(H330-C330,2))</f>
        <v/>
      </c>
      <c r="H330" s="24"/>
      <c r="I330" s="25" t="str">
        <f aca="false">IF(C330="","",IF(ISNUMBER(G330),IF(G330&lt;-E330,"Actual – Loss (limit breached)",IF(G330&lt;0,"Actual – Loss",IF(G330&gt;0,"Actual – Profit","Actual – No trade"))),"Projection"))</f>
        <v/>
      </c>
      <c r="J330" s="26"/>
      <c r="K330" s="27"/>
    </row>
    <row r="331" customFormat="false" ht="15" hidden="false" customHeight="false" outlineLevel="0" collapsed="false">
      <c r="A331" s="20" t="str">
        <f aca="false">IF(C331="","",ROW()-12)</f>
        <v/>
      </c>
      <c r="B331" s="21" t="str">
        <f aca="false">IF(C331="","",WORKDAY($C$5-1,A331,'NSE Holidays'!$A$5:$A$64))</f>
        <v/>
      </c>
      <c r="C331" s="22" t="str">
        <f aca="false">IF(C330="","",IF(OR(IF(ISNUMBER(G330),H330,F330)&gt;=$C$7,IF(ISNUMBER(G330),H330,F330)&lt;=0),"",IF(ISNUMBER(G330),H330,F330)))</f>
        <v/>
      </c>
      <c r="D331" s="22" t="str">
        <f aca="false">IF(C331="","",ROUND(C331*$C$8,2))</f>
        <v/>
      </c>
      <c r="E331" s="22" t="str">
        <f aca="false">IF(C331="","",ROUND(C331*$C$9,2))</f>
        <v/>
      </c>
      <c r="F331" s="22" t="str">
        <f aca="false">IF(C331="","",C331+D331)</f>
        <v/>
      </c>
      <c r="G331" s="23" t="str">
        <f aca="false">IF(OR(C331="",NOT(ISNUMBER(H331))),"",ROUND(H331-C331,2))</f>
        <v/>
      </c>
      <c r="H331" s="24"/>
      <c r="I331" s="25" t="str">
        <f aca="false">IF(C331="","",IF(ISNUMBER(G331),IF(G331&lt;-E331,"Actual – Loss (limit breached)",IF(G331&lt;0,"Actual – Loss",IF(G331&gt;0,"Actual – Profit","Actual – No trade"))),"Projection"))</f>
        <v/>
      </c>
      <c r="J331" s="26"/>
      <c r="K331" s="27"/>
    </row>
    <row r="332" customFormat="false" ht="15" hidden="false" customHeight="false" outlineLevel="0" collapsed="false">
      <c r="A332" s="20" t="str">
        <f aca="false">IF(C332="","",ROW()-12)</f>
        <v/>
      </c>
      <c r="B332" s="21" t="str">
        <f aca="false">IF(C332="","",WORKDAY($C$5-1,A332,'NSE Holidays'!$A$5:$A$64))</f>
        <v/>
      </c>
      <c r="C332" s="22" t="str">
        <f aca="false">IF(C331="","",IF(OR(IF(ISNUMBER(G331),H331,F331)&gt;=$C$7,IF(ISNUMBER(G331),H331,F331)&lt;=0),"",IF(ISNUMBER(G331),H331,F331)))</f>
        <v/>
      </c>
      <c r="D332" s="22" t="str">
        <f aca="false">IF(C332="","",ROUND(C332*$C$8,2))</f>
        <v/>
      </c>
      <c r="E332" s="22" t="str">
        <f aca="false">IF(C332="","",ROUND(C332*$C$9,2))</f>
        <v/>
      </c>
      <c r="F332" s="22" t="str">
        <f aca="false">IF(C332="","",C332+D332)</f>
        <v/>
      </c>
      <c r="G332" s="23" t="str">
        <f aca="false">IF(OR(C332="",NOT(ISNUMBER(H332))),"",ROUND(H332-C332,2))</f>
        <v/>
      </c>
      <c r="H332" s="24"/>
      <c r="I332" s="25" t="str">
        <f aca="false">IF(C332="","",IF(ISNUMBER(G332),IF(G332&lt;-E332,"Actual – Loss (limit breached)",IF(G332&lt;0,"Actual – Loss",IF(G332&gt;0,"Actual – Profit","Actual – No trade"))),"Projection"))</f>
        <v/>
      </c>
      <c r="J332" s="26"/>
      <c r="K332" s="27"/>
    </row>
    <row r="333" customFormat="false" ht="15" hidden="false" customHeight="false" outlineLevel="0" collapsed="false">
      <c r="A333" s="20" t="str">
        <f aca="false">IF(C333="","",ROW()-12)</f>
        <v/>
      </c>
      <c r="B333" s="21" t="str">
        <f aca="false">IF(C333="","",WORKDAY($C$5-1,A333,'NSE Holidays'!$A$5:$A$64))</f>
        <v/>
      </c>
      <c r="C333" s="22" t="str">
        <f aca="false">IF(C332="","",IF(OR(IF(ISNUMBER(G332),H332,F332)&gt;=$C$7,IF(ISNUMBER(G332),H332,F332)&lt;=0),"",IF(ISNUMBER(G332),H332,F332)))</f>
        <v/>
      </c>
      <c r="D333" s="22" t="str">
        <f aca="false">IF(C333="","",ROUND(C333*$C$8,2))</f>
        <v/>
      </c>
      <c r="E333" s="22" t="str">
        <f aca="false">IF(C333="","",ROUND(C333*$C$9,2))</f>
        <v/>
      </c>
      <c r="F333" s="22" t="str">
        <f aca="false">IF(C333="","",C333+D333)</f>
        <v/>
      </c>
      <c r="G333" s="23" t="str">
        <f aca="false">IF(OR(C333="",NOT(ISNUMBER(H333))),"",ROUND(H333-C333,2))</f>
        <v/>
      </c>
      <c r="H333" s="24"/>
      <c r="I333" s="25" t="str">
        <f aca="false">IF(C333="","",IF(ISNUMBER(G333),IF(G333&lt;-E333,"Actual – Loss (limit breached)",IF(G333&lt;0,"Actual – Loss",IF(G333&gt;0,"Actual – Profit","Actual – No trade"))),"Projection"))</f>
        <v/>
      </c>
      <c r="J333" s="26"/>
      <c r="K333" s="27"/>
    </row>
    <row r="334" customFormat="false" ht="15" hidden="false" customHeight="false" outlineLevel="0" collapsed="false">
      <c r="A334" s="20" t="str">
        <f aca="false">IF(C334="","",ROW()-12)</f>
        <v/>
      </c>
      <c r="B334" s="21" t="str">
        <f aca="false">IF(C334="","",WORKDAY($C$5-1,A334,'NSE Holidays'!$A$5:$A$64))</f>
        <v/>
      </c>
      <c r="C334" s="22" t="str">
        <f aca="false">IF(C333="","",IF(OR(IF(ISNUMBER(G333),H333,F333)&gt;=$C$7,IF(ISNUMBER(G333),H333,F333)&lt;=0),"",IF(ISNUMBER(G333),H333,F333)))</f>
        <v/>
      </c>
      <c r="D334" s="22" t="str">
        <f aca="false">IF(C334="","",ROUND(C334*$C$8,2))</f>
        <v/>
      </c>
      <c r="E334" s="22" t="str">
        <f aca="false">IF(C334="","",ROUND(C334*$C$9,2))</f>
        <v/>
      </c>
      <c r="F334" s="22" t="str">
        <f aca="false">IF(C334="","",C334+D334)</f>
        <v/>
      </c>
      <c r="G334" s="23" t="str">
        <f aca="false">IF(OR(C334="",NOT(ISNUMBER(H334))),"",ROUND(H334-C334,2))</f>
        <v/>
      </c>
      <c r="H334" s="24"/>
      <c r="I334" s="25" t="str">
        <f aca="false">IF(C334="","",IF(ISNUMBER(G334),IF(G334&lt;-E334,"Actual – Loss (limit breached)",IF(G334&lt;0,"Actual – Loss",IF(G334&gt;0,"Actual – Profit","Actual – No trade"))),"Projection"))</f>
        <v/>
      </c>
      <c r="J334" s="26"/>
      <c r="K334" s="27"/>
    </row>
    <row r="335" customFormat="false" ht="15" hidden="false" customHeight="false" outlineLevel="0" collapsed="false">
      <c r="A335" s="20" t="str">
        <f aca="false">IF(C335="","",ROW()-12)</f>
        <v/>
      </c>
      <c r="B335" s="21" t="str">
        <f aca="false">IF(C335="","",WORKDAY($C$5-1,A335,'NSE Holidays'!$A$5:$A$64))</f>
        <v/>
      </c>
      <c r="C335" s="22" t="str">
        <f aca="false">IF(C334="","",IF(OR(IF(ISNUMBER(G334),H334,F334)&gt;=$C$7,IF(ISNUMBER(G334),H334,F334)&lt;=0),"",IF(ISNUMBER(G334),H334,F334)))</f>
        <v/>
      </c>
      <c r="D335" s="22" t="str">
        <f aca="false">IF(C335="","",ROUND(C335*$C$8,2))</f>
        <v/>
      </c>
      <c r="E335" s="22" t="str">
        <f aca="false">IF(C335="","",ROUND(C335*$C$9,2))</f>
        <v/>
      </c>
      <c r="F335" s="22" t="str">
        <f aca="false">IF(C335="","",C335+D335)</f>
        <v/>
      </c>
      <c r="G335" s="23" t="str">
        <f aca="false">IF(OR(C335="",NOT(ISNUMBER(H335))),"",ROUND(H335-C335,2))</f>
        <v/>
      </c>
      <c r="H335" s="24"/>
      <c r="I335" s="25" t="str">
        <f aca="false">IF(C335="","",IF(ISNUMBER(G335),IF(G335&lt;-E335,"Actual – Loss (limit breached)",IF(G335&lt;0,"Actual – Loss",IF(G335&gt;0,"Actual – Profit","Actual – No trade"))),"Projection"))</f>
        <v/>
      </c>
      <c r="J335" s="26"/>
      <c r="K335" s="27"/>
    </row>
    <row r="336" customFormat="false" ht="15" hidden="false" customHeight="false" outlineLevel="0" collapsed="false">
      <c r="A336" s="20" t="str">
        <f aca="false">IF(C336="","",ROW()-12)</f>
        <v/>
      </c>
      <c r="B336" s="21" t="str">
        <f aca="false">IF(C336="","",WORKDAY($C$5-1,A336,'NSE Holidays'!$A$5:$A$64))</f>
        <v/>
      </c>
      <c r="C336" s="22" t="str">
        <f aca="false">IF(C335="","",IF(OR(IF(ISNUMBER(G335),H335,F335)&gt;=$C$7,IF(ISNUMBER(G335),H335,F335)&lt;=0),"",IF(ISNUMBER(G335),H335,F335)))</f>
        <v/>
      </c>
      <c r="D336" s="22" t="str">
        <f aca="false">IF(C336="","",ROUND(C336*$C$8,2))</f>
        <v/>
      </c>
      <c r="E336" s="22" t="str">
        <f aca="false">IF(C336="","",ROUND(C336*$C$9,2))</f>
        <v/>
      </c>
      <c r="F336" s="22" t="str">
        <f aca="false">IF(C336="","",C336+D336)</f>
        <v/>
      </c>
      <c r="G336" s="23" t="str">
        <f aca="false">IF(OR(C336="",NOT(ISNUMBER(H336))),"",ROUND(H336-C336,2))</f>
        <v/>
      </c>
      <c r="H336" s="24"/>
      <c r="I336" s="25" t="str">
        <f aca="false">IF(C336="","",IF(ISNUMBER(G336),IF(G336&lt;-E336,"Actual – Loss (limit breached)",IF(G336&lt;0,"Actual – Loss",IF(G336&gt;0,"Actual – Profit","Actual – No trade"))),"Projection"))</f>
        <v/>
      </c>
      <c r="J336" s="26"/>
      <c r="K336" s="27"/>
    </row>
    <row r="337" customFormat="false" ht="15" hidden="false" customHeight="false" outlineLevel="0" collapsed="false">
      <c r="A337" s="20" t="str">
        <f aca="false">IF(C337="","",ROW()-12)</f>
        <v/>
      </c>
      <c r="B337" s="21" t="str">
        <f aca="false">IF(C337="","",WORKDAY($C$5-1,A337,'NSE Holidays'!$A$5:$A$64))</f>
        <v/>
      </c>
      <c r="C337" s="22" t="str">
        <f aca="false">IF(C336="","",IF(OR(IF(ISNUMBER(G336),H336,F336)&gt;=$C$7,IF(ISNUMBER(G336),H336,F336)&lt;=0),"",IF(ISNUMBER(G336),H336,F336)))</f>
        <v/>
      </c>
      <c r="D337" s="22" t="str">
        <f aca="false">IF(C337="","",ROUND(C337*$C$8,2))</f>
        <v/>
      </c>
      <c r="E337" s="22" t="str">
        <f aca="false">IF(C337="","",ROUND(C337*$C$9,2))</f>
        <v/>
      </c>
      <c r="F337" s="22" t="str">
        <f aca="false">IF(C337="","",C337+D337)</f>
        <v/>
      </c>
      <c r="G337" s="23" t="str">
        <f aca="false">IF(OR(C337="",NOT(ISNUMBER(H337))),"",ROUND(H337-C337,2))</f>
        <v/>
      </c>
      <c r="H337" s="24"/>
      <c r="I337" s="25" t="str">
        <f aca="false">IF(C337="","",IF(ISNUMBER(G337),IF(G337&lt;-E337,"Actual – Loss (limit breached)",IF(G337&lt;0,"Actual – Loss",IF(G337&gt;0,"Actual – Profit","Actual – No trade"))),"Projection"))</f>
        <v/>
      </c>
      <c r="J337" s="26"/>
      <c r="K337" s="27"/>
    </row>
    <row r="338" customFormat="false" ht="15" hidden="false" customHeight="false" outlineLevel="0" collapsed="false">
      <c r="A338" s="20" t="str">
        <f aca="false">IF(C338="","",ROW()-12)</f>
        <v/>
      </c>
      <c r="B338" s="21" t="str">
        <f aca="false">IF(C338="","",WORKDAY($C$5-1,A338,'NSE Holidays'!$A$5:$A$64))</f>
        <v/>
      </c>
      <c r="C338" s="22" t="str">
        <f aca="false">IF(C337="","",IF(OR(IF(ISNUMBER(G337),H337,F337)&gt;=$C$7,IF(ISNUMBER(G337),H337,F337)&lt;=0),"",IF(ISNUMBER(G337),H337,F337)))</f>
        <v/>
      </c>
      <c r="D338" s="22" t="str">
        <f aca="false">IF(C338="","",ROUND(C338*$C$8,2))</f>
        <v/>
      </c>
      <c r="E338" s="22" t="str">
        <f aca="false">IF(C338="","",ROUND(C338*$C$9,2))</f>
        <v/>
      </c>
      <c r="F338" s="22" t="str">
        <f aca="false">IF(C338="","",C338+D338)</f>
        <v/>
      </c>
      <c r="G338" s="23" t="str">
        <f aca="false">IF(OR(C338="",NOT(ISNUMBER(H338))),"",ROUND(H338-C338,2))</f>
        <v/>
      </c>
      <c r="H338" s="24"/>
      <c r="I338" s="25" t="str">
        <f aca="false">IF(C338="","",IF(ISNUMBER(G338),IF(G338&lt;-E338,"Actual – Loss (limit breached)",IF(G338&lt;0,"Actual – Loss",IF(G338&gt;0,"Actual – Profit","Actual – No trade"))),"Projection"))</f>
        <v/>
      </c>
      <c r="J338" s="26"/>
      <c r="K338" s="27"/>
    </row>
    <row r="339" customFormat="false" ht="15" hidden="false" customHeight="false" outlineLevel="0" collapsed="false">
      <c r="A339" s="20" t="str">
        <f aca="false">IF(C339="","",ROW()-12)</f>
        <v/>
      </c>
      <c r="B339" s="21" t="str">
        <f aca="false">IF(C339="","",WORKDAY($C$5-1,A339,'NSE Holidays'!$A$5:$A$64))</f>
        <v/>
      </c>
      <c r="C339" s="22" t="str">
        <f aca="false">IF(C338="","",IF(OR(IF(ISNUMBER(G338),H338,F338)&gt;=$C$7,IF(ISNUMBER(G338),H338,F338)&lt;=0),"",IF(ISNUMBER(G338),H338,F338)))</f>
        <v/>
      </c>
      <c r="D339" s="22" t="str">
        <f aca="false">IF(C339="","",ROUND(C339*$C$8,2))</f>
        <v/>
      </c>
      <c r="E339" s="22" t="str">
        <f aca="false">IF(C339="","",ROUND(C339*$C$9,2))</f>
        <v/>
      </c>
      <c r="F339" s="22" t="str">
        <f aca="false">IF(C339="","",C339+D339)</f>
        <v/>
      </c>
      <c r="G339" s="23" t="str">
        <f aca="false">IF(OR(C339="",NOT(ISNUMBER(H339))),"",ROUND(H339-C339,2))</f>
        <v/>
      </c>
      <c r="H339" s="24"/>
      <c r="I339" s="25" t="str">
        <f aca="false">IF(C339="","",IF(ISNUMBER(G339),IF(G339&lt;-E339,"Actual – Loss (limit breached)",IF(G339&lt;0,"Actual – Loss",IF(G339&gt;0,"Actual – Profit","Actual – No trade"))),"Projection"))</f>
        <v/>
      </c>
      <c r="J339" s="26"/>
      <c r="K339" s="27"/>
    </row>
    <row r="340" customFormat="false" ht="15" hidden="false" customHeight="false" outlineLevel="0" collapsed="false">
      <c r="A340" s="20" t="str">
        <f aca="false">IF(C340="","",ROW()-12)</f>
        <v/>
      </c>
      <c r="B340" s="21" t="str">
        <f aca="false">IF(C340="","",WORKDAY($C$5-1,A340,'NSE Holidays'!$A$5:$A$64))</f>
        <v/>
      </c>
      <c r="C340" s="22" t="str">
        <f aca="false">IF(C339="","",IF(OR(IF(ISNUMBER(G339),H339,F339)&gt;=$C$7,IF(ISNUMBER(G339),H339,F339)&lt;=0),"",IF(ISNUMBER(G339),H339,F339)))</f>
        <v/>
      </c>
      <c r="D340" s="22" t="str">
        <f aca="false">IF(C340="","",ROUND(C340*$C$8,2))</f>
        <v/>
      </c>
      <c r="E340" s="22" t="str">
        <f aca="false">IF(C340="","",ROUND(C340*$C$9,2))</f>
        <v/>
      </c>
      <c r="F340" s="22" t="str">
        <f aca="false">IF(C340="","",C340+D340)</f>
        <v/>
      </c>
      <c r="G340" s="23" t="str">
        <f aca="false">IF(OR(C340="",NOT(ISNUMBER(H340))),"",ROUND(H340-C340,2))</f>
        <v/>
      </c>
      <c r="H340" s="24"/>
      <c r="I340" s="25" t="str">
        <f aca="false">IF(C340="","",IF(ISNUMBER(G340),IF(G340&lt;-E340,"Actual – Loss (limit breached)",IF(G340&lt;0,"Actual – Loss",IF(G340&gt;0,"Actual – Profit","Actual – No trade"))),"Projection"))</f>
        <v/>
      </c>
      <c r="J340" s="26"/>
      <c r="K340" s="27"/>
    </row>
    <row r="341" customFormat="false" ht="15" hidden="false" customHeight="false" outlineLevel="0" collapsed="false">
      <c r="A341" s="20" t="str">
        <f aca="false">IF(C341="","",ROW()-12)</f>
        <v/>
      </c>
      <c r="B341" s="21" t="str">
        <f aca="false">IF(C341="","",WORKDAY($C$5-1,A341,'NSE Holidays'!$A$5:$A$64))</f>
        <v/>
      </c>
      <c r="C341" s="22" t="str">
        <f aca="false">IF(C340="","",IF(OR(IF(ISNUMBER(G340),H340,F340)&gt;=$C$7,IF(ISNUMBER(G340),H340,F340)&lt;=0),"",IF(ISNUMBER(G340),H340,F340)))</f>
        <v/>
      </c>
      <c r="D341" s="22" t="str">
        <f aca="false">IF(C341="","",ROUND(C341*$C$8,2))</f>
        <v/>
      </c>
      <c r="E341" s="22" t="str">
        <f aca="false">IF(C341="","",ROUND(C341*$C$9,2))</f>
        <v/>
      </c>
      <c r="F341" s="22" t="str">
        <f aca="false">IF(C341="","",C341+D341)</f>
        <v/>
      </c>
      <c r="G341" s="23" t="str">
        <f aca="false">IF(OR(C341="",NOT(ISNUMBER(H341))),"",ROUND(H341-C341,2))</f>
        <v/>
      </c>
      <c r="H341" s="24"/>
      <c r="I341" s="25" t="str">
        <f aca="false">IF(C341="","",IF(ISNUMBER(G341),IF(G341&lt;-E341,"Actual – Loss (limit breached)",IF(G341&lt;0,"Actual – Loss",IF(G341&gt;0,"Actual – Profit","Actual – No trade"))),"Projection"))</f>
        <v/>
      </c>
      <c r="J341" s="26"/>
      <c r="K341" s="27"/>
    </row>
    <row r="342" customFormat="false" ht="15" hidden="false" customHeight="false" outlineLevel="0" collapsed="false">
      <c r="A342" s="20" t="str">
        <f aca="false">IF(C342="","",ROW()-12)</f>
        <v/>
      </c>
      <c r="B342" s="21" t="str">
        <f aca="false">IF(C342="","",WORKDAY($C$5-1,A342,'NSE Holidays'!$A$5:$A$64))</f>
        <v/>
      </c>
      <c r="C342" s="22" t="str">
        <f aca="false">IF(C341="","",IF(OR(IF(ISNUMBER(G341),H341,F341)&gt;=$C$7,IF(ISNUMBER(G341),H341,F341)&lt;=0),"",IF(ISNUMBER(G341),H341,F341)))</f>
        <v/>
      </c>
      <c r="D342" s="22" t="str">
        <f aca="false">IF(C342="","",ROUND(C342*$C$8,2))</f>
        <v/>
      </c>
      <c r="E342" s="22" t="str">
        <f aca="false">IF(C342="","",ROUND(C342*$C$9,2))</f>
        <v/>
      </c>
      <c r="F342" s="22" t="str">
        <f aca="false">IF(C342="","",C342+D342)</f>
        <v/>
      </c>
      <c r="G342" s="23" t="str">
        <f aca="false">IF(OR(C342="",NOT(ISNUMBER(H342))),"",ROUND(H342-C342,2))</f>
        <v/>
      </c>
      <c r="H342" s="24"/>
      <c r="I342" s="25" t="str">
        <f aca="false">IF(C342="","",IF(ISNUMBER(G342),IF(G342&lt;-E342,"Actual – Loss (limit breached)",IF(G342&lt;0,"Actual – Loss",IF(G342&gt;0,"Actual – Profit","Actual – No trade"))),"Projection"))</f>
        <v/>
      </c>
      <c r="J342" s="26"/>
      <c r="K342" s="27"/>
    </row>
    <row r="343" customFormat="false" ht="15" hidden="false" customHeight="false" outlineLevel="0" collapsed="false">
      <c r="A343" s="20" t="str">
        <f aca="false">IF(C343="","",ROW()-12)</f>
        <v/>
      </c>
      <c r="B343" s="21" t="str">
        <f aca="false">IF(C343="","",WORKDAY($C$5-1,A343,'NSE Holidays'!$A$5:$A$64))</f>
        <v/>
      </c>
      <c r="C343" s="22" t="str">
        <f aca="false">IF(C342="","",IF(OR(IF(ISNUMBER(G342),H342,F342)&gt;=$C$7,IF(ISNUMBER(G342),H342,F342)&lt;=0),"",IF(ISNUMBER(G342),H342,F342)))</f>
        <v/>
      </c>
      <c r="D343" s="22" t="str">
        <f aca="false">IF(C343="","",ROUND(C343*$C$8,2))</f>
        <v/>
      </c>
      <c r="E343" s="22" t="str">
        <f aca="false">IF(C343="","",ROUND(C343*$C$9,2))</f>
        <v/>
      </c>
      <c r="F343" s="22" t="str">
        <f aca="false">IF(C343="","",C343+D343)</f>
        <v/>
      </c>
      <c r="G343" s="23" t="str">
        <f aca="false">IF(OR(C343="",NOT(ISNUMBER(H343))),"",ROUND(H343-C343,2))</f>
        <v/>
      </c>
      <c r="H343" s="24"/>
      <c r="I343" s="25" t="str">
        <f aca="false">IF(C343="","",IF(ISNUMBER(G343),IF(G343&lt;-E343,"Actual – Loss (limit breached)",IF(G343&lt;0,"Actual – Loss",IF(G343&gt;0,"Actual – Profit","Actual – No trade"))),"Projection"))</f>
        <v/>
      </c>
      <c r="J343" s="26"/>
      <c r="K343" s="27"/>
    </row>
    <row r="344" customFormat="false" ht="15" hidden="false" customHeight="false" outlineLevel="0" collapsed="false">
      <c r="A344" s="20" t="str">
        <f aca="false">IF(C344="","",ROW()-12)</f>
        <v/>
      </c>
      <c r="B344" s="21" t="str">
        <f aca="false">IF(C344="","",WORKDAY($C$5-1,A344,'NSE Holidays'!$A$5:$A$64))</f>
        <v/>
      </c>
      <c r="C344" s="22" t="str">
        <f aca="false">IF(C343="","",IF(OR(IF(ISNUMBER(G343),H343,F343)&gt;=$C$7,IF(ISNUMBER(G343),H343,F343)&lt;=0),"",IF(ISNUMBER(G343),H343,F343)))</f>
        <v/>
      </c>
      <c r="D344" s="22" t="str">
        <f aca="false">IF(C344="","",ROUND(C344*$C$8,2))</f>
        <v/>
      </c>
      <c r="E344" s="22" t="str">
        <f aca="false">IF(C344="","",ROUND(C344*$C$9,2))</f>
        <v/>
      </c>
      <c r="F344" s="22" t="str">
        <f aca="false">IF(C344="","",C344+D344)</f>
        <v/>
      </c>
      <c r="G344" s="23" t="str">
        <f aca="false">IF(OR(C344="",NOT(ISNUMBER(H344))),"",ROUND(H344-C344,2))</f>
        <v/>
      </c>
      <c r="H344" s="24"/>
      <c r="I344" s="25" t="str">
        <f aca="false">IF(C344="","",IF(ISNUMBER(G344),IF(G344&lt;-E344,"Actual – Loss (limit breached)",IF(G344&lt;0,"Actual – Loss",IF(G344&gt;0,"Actual – Profit","Actual – No trade"))),"Projection"))</f>
        <v/>
      </c>
      <c r="J344" s="26"/>
      <c r="K344" s="27"/>
    </row>
    <row r="345" customFormat="false" ht="15" hidden="false" customHeight="false" outlineLevel="0" collapsed="false">
      <c r="A345" s="20" t="str">
        <f aca="false">IF(C345="","",ROW()-12)</f>
        <v/>
      </c>
      <c r="B345" s="21" t="str">
        <f aca="false">IF(C345="","",WORKDAY($C$5-1,A345,'NSE Holidays'!$A$5:$A$64))</f>
        <v/>
      </c>
      <c r="C345" s="22" t="str">
        <f aca="false">IF(C344="","",IF(OR(IF(ISNUMBER(G344),H344,F344)&gt;=$C$7,IF(ISNUMBER(G344),H344,F344)&lt;=0),"",IF(ISNUMBER(G344),H344,F344)))</f>
        <v/>
      </c>
      <c r="D345" s="22" t="str">
        <f aca="false">IF(C345="","",ROUND(C345*$C$8,2))</f>
        <v/>
      </c>
      <c r="E345" s="22" t="str">
        <f aca="false">IF(C345="","",ROUND(C345*$C$9,2))</f>
        <v/>
      </c>
      <c r="F345" s="22" t="str">
        <f aca="false">IF(C345="","",C345+D345)</f>
        <v/>
      </c>
      <c r="G345" s="23" t="str">
        <f aca="false">IF(OR(C345="",NOT(ISNUMBER(H345))),"",ROUND(H345-C345,2))</f>
        <v/>
      </c>
      <c r="H345" s="24"/>
      <c r="I345" s="25" t="str">
        <f aca="false">IF(C345="","",IF(ISNUMBER(G345),IF(G345&lt;-E345,"Actual – Loss (limit breached)",IF(G345&lt;0,"Actual – Loss",IF(G345&gt;0,"Actual – Profit","Actual – No trade"))),"Projection"))</f>
        <v/>
      </c>
      <c r="J345" s="26"/>
      <c r="K345" s="27"/>
    </row>
    <row r="346" customFormat="false" ht="15" hidden="false" customHeight="false" outlineLevel="0" collapsed="false">
      <c r="A346" s="20" t="str">
        <f aca="false">IF(C346="","",ROW()-12)</f>
        <v/>
      </c>
      <c r="B346" s="21" t="str">
        <f aca="false">IF(C346="","",WORKDAY($C$5-1,A346,'NSE Holidays'!$A$5:$A$64))</f>
        <v/>
      </c>
      <c r="C346" s="22" t="str">
        <f aca="false">IF(C345="","",IF(OR(IF(ISNUMBER(G345),H345,F345)&gt;=$C$7,IF(ISNUMBER(G345),H345,F345)&lt;=0),"",IF(ISNUMBER(G345),H345,F345)))</f>
        <v/>
      </c>
      <c r="D346" s="22" t="str">
        <f aca="false">IF(C346="","",ROUND(C346*$C$8,2))</f>
        <v/>
      </c>
      <c r="E346" s="22" t="str">
        <f aca="false">IF(C346="","",ROUND(C346*$C$9,2))</f>
        <v/>
      </c>
      <c r="F346" s="22" t="str">
        <f aca="false">IF(C346="","",C346+D346)</f>
        <v/>
      </c>
      <c r="G346" s="23" t="str">
        <f aca="false">IF(OR(C346="",NOT(ISNUMBER(H346))),"",ROUND(H346-C346,2))</f>
        <v/>
      </c>
      <c r="H346" s="24"/>
      <c r="I346" s="25" t="str">
        <f aca="false">IF(C346="","",IF(ISNUMBER(G346),IF(G346&lt;-E346,"Actual – Loss (limit breached)",IF(G346&lt;0,"Actual – Loss",IF(G346&gt;0,"Actual – Profit","Actual – No trade"))),"Projection"))</f>
        <v/>
      </c>
      <c r="J346" s="26"/>
      <c r="K346" s="27"/>
    </row>
    <row r="347" customFormat="false" ht="15" hidden="false" customHeight="false" outlineLevel="0" collapsed="false">
      <c r="A347" s="20" t="str">
        <f aca="false">IF(C347="","",ROW()-12)</f>
        <v/>
      </c>
      <c r="B347" s="21" t="str">
        <f aca="false">IF(C347="","",WORKDAY($C$5-1,A347,'NSE Holidays'!$A$5:$A$64))</f>
        <v/>
      </c>
      <c r="C347" s="22" t="str">
        <f aca="false">IF(C346="","",IF(OR(IF(ISNUMBER(G346),H346,F346)&gt;=$C$7,IF(ISNUMBER(G346),H346,F346)&lt;=0),"",IF(ISNUMBER(G346),H346,F346)))</f>
        <v/>
      </c>
      <c r="D347" s="22" t="str">
        <f aca="false">IF(C347="","",ROUND(C347*$C$8,2))</f>
        <v/>
      </c>
      <c r="E347" s="22" t="str">
        <f aca="false">IF(C347="","",ROUND(C347*$C$9,2))</f>
        <v/>
      </c>
      <c r="F347" s="22" t="str">
        <f aca="false">IF(C347="","",C347+D347)</f>
        <v/>
      </c>
      <c r="G347" s="23" t="str">
        <f aca="false">IF(OR(C347="",NOT(ISNUMBER(H347))),"",ROUND(H347-C347,2))</f>
        <v/>
      </c>
      <c r="H347" s="24"/>
      <c r="I347" s="25" t="str">
        <f aca="false">IF(C347="","",IF(ISNUMBER(G347),IF(G347&lt;-E347,"Actual – Loss (limit breached)",IF(G347&lt;0,"Actual – Loss",IF(G347&gt;0,"Actual – Profit","Actual – No trade"))),"Projection"))</f>
        <v/>
      </c>
      <c r="J347" s="26"/>
      <c r="K347" s="27"/>
    </row>
    <row r="348" customFormat="false" ht="15" hidden="false" customHeight="false" outlineLevel="0" collapsed="false">
      <c r="A348" s="20" t="str">
        <f aca="false">IF(C348="","",ROW()-12)</f>
        <v/>
      </c>
      <c r="B348" s="21" t="str">
        <f aca="false">IF(C348="","",WORKDAY($C$5-1,A348,'NSE Holidays'!$A$5:$A$64))</f>
        <v/>
      </c>
      <c r="C348" s="22" t="str">
        <f aca="false">IF(C347="","",IF(OR(IF(ISNUMBER(G347),H347,F347)&gt;=$C$7,IF(ISNUMBER(G347),H347,F347)&lt;=0),"",IF(ISNUMBER(G347),H347,F347)))</f>
        <v/>
      </c>
      <c r="D348" s="22" t="str">
        <f aca="false">IF(C348="","",ROUND(C348*$C$8,2))</f>
        <v/>
      </c>
      <c r="E348" s="22" t="str">
        <f aca="false">IF(C348="","",ROUND(C348*$C$9,2))</f>
        <v/>
      </c>
      <c r="F348" s="22" t="str">
        <f aca="false">IF(C348="","",C348+D348)</f>
        <v/>
      </c>
      <c r="G348" s="23" t="str">
        <f aca="false">IF(OR(C348="",NOT(ISNUMBER(H348))),"",ROUND(H348-C348,2))</f>
        <v/>
      </c>
      <c r="H348" s="24"/>
      <c r="I348" s="25" t="str">
        <f aca="false">IF(C348="","",IF(ISNUMBER(G348),IF(G348&lt;-E348,"Actual – Loss (limit breached)",IF(G348&lt;0,"Actual – Loss",IF(G348&gt;0,"Actual – Profit","Actual – No trade"))),"Projection"))</f>
        <v/>
      </c>
      <c r="J348" s="26"/>
      <c r="K348" s="27"/>
    </row>
    <row r="349" customFormat="false" ht="15" hidden="false" customHeight="false" outlineLevel="0" collapsed="false">
      <c r="A349" s="20" t="str">
        <f aca="false">IF(C349="","",ROW()-12)</f>
        <v/>
      </c>
      <c r="B349" s="21" t="str">
        <f aca="false">IF(C349="","",WORKDAY($C$5-1,A349,'NSE Holidays'!$A$5:$A$64))</f>
        <v/>
      </c>
      <c r="C349" s="22" t="str">
        <f aca="false">IF(C348="","",IF(OR(IF(ISNUMBER(G348),H348,F348)&gt;=$C$7,IF(ISNUMBER(G348),H348,F348)&lt;=0),"",IF(ISNUMBER(G348),H348,F348)))</f>
        <v/>
      </c>
      <c r="D349" s="22" t="str">
        <f aca="false">IF(C349="","",ROUND(C349*$C$8,2))</f>
        <v/>
      </c>
      <c r="E349" s="22" t="str">
        <f aca="false">IF(C349="","",ROUND(C349*$C$9,2))</f>
        <v/>
      </c>
      <c r="F349" s="22" t="str">
        <f aca="false">IF(C349="","",C349+D349)</f>
        <v/>
      </c>
      <c r="G349" s="23" t="str">
        <f aca="false">IF(OR(C349="",NOT(ISNUMBER(H349))),"",ROUND(H349-C349,2))</f>
        <v/>
      </c>
      <c r="H349" s="24"/>
      <c r="I349" s="25" t="str">
        <f aca="false">IF(C349="","",IF(ISNUMBER(G349),IF(G349&lt;-E349,"Actual – Loss (limit breached)",IF(G349&lt;0,"Actual – Loss",IF(G349&gt;0,"Actual – Profit","Actual – No trade"))),"Projection"))</f>
        <v/>
      </c>
      <c r="J349" s="26"/>
      <c r="K349" s="27"/>
    </row>
    <row r="350" customFormat="false" ht="15" hidden="false" customHeight="false" outlineLevel="0" collapsed="false">
      <c r="A350" s="20" t="str">
        <f aca="false">IF(C350="","",ROW()-12)</f>
        <v/>
      </c>
      <c r="B350" s="21" t="str">
        <f aca="false">IF(C350="","",WORKDAY($C$5-1,A350,'NSE Holidays'!$A$5:$A$64))</f>
        <v/>
      </c>
      <c r="C350" s="22" t="str">
        <f aca="false">IF(C349="","",IF(OR(IF(ISNUMBER(G349),H349,F349)&gt;=$C$7,IF(ISNUMBER(G349),H349,F349)&lt;=0),"",IF(ISNUMBER(G349),H349,F349)))</f>
        <v/>
      </c>
      <c r="D350" s="22" t="str">
        <f aca="false">IF(C350="","",ROUND(C350*$C$8,2))</f>
        <v/>
      </c>
      <c r="E350" s="22" t="str">
        <f aca="false">IF(C350="","",ROUND(C350*$C$9,2))</f>
        <v/>
      </c>
      <c r="F350" s="22" t="str">
        <f aca="false">IF(C350="","",C350+D350)</f>
        <v/>
      </c>
      <c r="G350" s="23" t="str">
        <f aca="false">IF(OR(C350="",NOT(ISNUMBER(H350))),"",ROUND(H350-C350,2))</f>
        <v/>
      </c>
      <c r="H350" s="24"/>
      <c r="I350" s="25" t="str">
        <f aca="false">IF(C350="","",IF(ISNUMBER(G350),IF(G350&lt;-E350,"Actual – Loss (limit breached)",IF(G350&lt;0,"Actual – Loss",IF(G350&gt;0,"Actual – Profit","Actual – No trade"))),"Projection"))</f>
        <v/>
      </c>
      <c r="J350" s="26"/>
      <c r="K350" s="27"/>
    </row>
    <row r="351" customFormat="false" ht="15" hidden="false" customHeight="false" outlineLevel="0" collapsed="false">
      <c r="A351" s="20" t="str">
        <f aca="false">IF(C351="","",ROW()-12)</f>
        <v/>
      </c>
      <c r="B351" s="21" t="str">
        <f aca="false">IF(C351="","",WORKDAY($C$5-1,A351,'NSE Holidays'!$A$5:$A$64))</f>
        <v/>
      </c>
      <c r="C351" s="22" t="str">
        <f aca="false">IF(C350="","",IF(OR(IF(ISNUMBER(G350),H350,F350)&gt;=$C$7,IF(ISNUMBER(G350),H350,F350)&lt;=0),"",IF(ISNUMBER(G350),H350,F350)))</f>
        <v/>
      </c>
      <c r="D351" s="22" t="str">
        <f aca="false">IF(C351="","",ROUND(C351*$C$8,2))</f>
        <v/>
      </c>
      <c r="E351" s="22" t="str">
        <f aca="false">IF(C351="","",ROUND(C351*$C$9,2))</f>
        <v/>
      </c>
      <c r="F351" s="22" t="str">
        <f aca="false">IF(C351="","",C351+D351)</f>
        <v/>
      </c>
      <c r="G351" s="23" t="str">
        <f aca="false">IF(OR(C351="",NOT(ISNUMBER(H351))),"",ROUND(H351-C351,2))</f>
        <v/>
      </c>
      <c r="H351" s="24"/>
      <c r="I351" s="25" t="str">
        <f aca="false">IF(C351="","",IF(ISNUMBER(G351),IF(G351&lt;-E351,"Actual – Loss (limit breached)",IF(G351&lt;0,"Actual – Loss",IF(G351&gt;0,"Actual – Profit","Actual – No trade"))),"Projection"))</f>
        <v/>
      </c>
      <c r="J351" s="26"/>
      <c r="K351" s="27"/>
    </row>
    <row r="352" customFormat="false" ht="15" hidden="false" customHeight="false" outlineLevel="0" collapsed="false">
      <c r="A352" s="20" t="str">
        <f aca="false">IF(C352="","",ROW()-12)</f>
        <v/>
      </c>
      <c r="B352" s="21" t="str">
        <f aca="false">IF(C352="","",WORKDAY($C$5-1,A352,'NSE Holidays'!$A$5:$A$64))</f>
        <v/>
      </c>
      <c r="C352" s="22" t="str">
        <f aca="false">IF(C351="","",IF(OR(IF(ISNUMBER(G351),H351,F351)&gt;=$C$7,IF(ISNUMBER(G351),H351,F351)&lt;=0),"",IF(ISNUMBER(G351),H351,F351)))</f>
        <v/>
      </c>
      <c r="D352" s="22" t="str">
        <f aca="false">IF(C352="","",ROUND(C352*$C$8,2))</f>
        <v/>
      </c>
      <c r="E352" s="22" t="str">
        <f aca="false">IF(C352="","",ROUND(C352*$C$9,2))</f>
        <v/>
      </c>
      <c r="F352" s="22" t="str">
        <f aca="false">IF(C352="","",C352+D352)</f>
        <v/>
      </c>
      <c r="G352" s="23" t="str">
        <f aca="false">IF(OR(C352="",NOT(ISNUMBER(H352))),"",ROUND(H352-C352,2))</f>
        <v/>
      </c>
      <c r="H352" s="24"/>
      <c r="I352" s="25" t="str">
        <f aca="false">IF(C352="","",IF(ISNUMBER(G352),IF(G352&lt;-E352,"Actual – Loss (limit breached)",IF(G352&lt;0,"Actual – Loss",IF(G352&gt;0,"Actual – Profit","Actual – No trade"))),"Projection"))</f>
        <v/>
      </c>
      <c r="J352" s="26"/>
      <c r="K352" s="27"/>
    </row>
    <row r="353" customFormat="false" ht="15" hidden="false" customHeight="false" outlineLevel="0" collapsed="false">
      <c r="A353" s="20" t="str">
        <f aca="false">IF(C353="","",ROW()-12)</f>
        <v/>
      </c>
      <c r="B353" s="21" t="str">
        <f aca="false">IF(C353="","",WORKDAY($C$5-1,A353,'NSE Holidays'!$A$5:$A$64))</f>
        <v/>
      </c>
      <c r="C353" s="22" t="str">
        <f aca="false">IF(C352="","",IF(OR(IF(ISNUMBER(G352),H352,F352)&gt;=$C$7,IF(ISNUMBER(G352),H352,F352)&lt;=0),"",IF(ISNUMBER(G352),H352,F352)))</f>
        <v/>
      </c>
      <c r="D353" s="22" t="str">
        <f aca="false">IF(C353="","",ROUND(C353*$C$8,2))</f>
        <v/>
      </c>
      <c r="E353" s="22" t="str">
        <f aca="false">IF(C353="","",ROUND(C353*$C$9,2))</f>
        <v/>
      </c>
      <c r="F353" s="22" t="str">
        <f aca="false">IF(C353="","",C353+D353)</f>
        <v/>
      </c>
      <c r="G353" s="23" t="str">
        <f aca="false">IF(OR(C353="",NOT(ISNUMBER(H353))),"",ROUND(H353-C353,2))</f>
        <v/>
      </c>
      <c r="H353" s="24"/>
      <c r="I353" s="25" t="str">
        <f aca="false">IF(C353="","",IF(ISNUMBER(G353),IF(G353&lt;-E353,"Actual – Loss (limit breached)",IF(G353&lt;0,"Actual – Loss",IF(G353&gt;0,"Actual – Profit","Actual – No trade"))),"Projection"))</f>
        <v/>
      </c>
      <c r="J353" s="26"/>
      <c r="K353" s="27"/>
    </row>
    <row r="354" customFormat="false" ht="15" hidden="false" customHeight="false" outlineLevel="0" collapsed="false">
      <c r="A354" s="20" t="str">
        <f aca="false">IF(C354="","",ROW()-12)</f>
        <v/>
      </c>
      <c r="B354" s="21" t="str">
        <f aca="false">IF(C354="","",WORKDAY($C$5-1,A354,'NSE Holidays'!$A$5:$A$64))</f>
        <v/>
      </c>
      <c r="C354" s="22" t="str">
        <f aca="false">IF(C353="","",IF(OR(IF(ISNUMBER(G353),H353,F353)&gt;=$C$7,IF(ISNUMBER(G353),H353,F353)&lt;=0),"",IF(ISNUMBER(G353),H353,F353)))</f>
        <v/>
      </c>
      <c r="D354" s="22" t="str">
        <f aca="false">IF(C354="","",ROUND(C354*$C$8,2))</f>
        <v/>
      </c>
      <c r="E354" s="22" t="str">
        <f aca="false">IF(C354="","",ROUND(C354*$C$9,2))</f>
        <v/>
      </c>
      <c r="F354" s="22" t="str">
        <f aca="false">IF(C354="","",C354+D354)</f>
        <v/>
      </c>
      <c r="G354" s="23" t="str">
        <f aca="false">IF(OR(C354="",NOT(ISNUMBER(H354))),"",ROUND(H354-C354,2))</f>
        <v/>
      </c>
      <c r="H354" s="24"/>
      <c r="I354" s="25" t="str">
        <f aca="false">IF(C354="","",IF(ISNUMBER(G354),IF(G354&lt;-E354,"Actual – Loss (limit breached)",IF(G354&lt;0,"Actual – Loss",IF(G354&gt;0,"Actual – Profit","Actual – No trade"))),"Projection"))</f>
        <v/>
      </c>
      <c r="J354" s="26"/>
      <c r="K354" s="27"/>
    </row>
    <row r="355" customFormat="false" ht="15" hidden="false" customHeight="false" outlineLevel="0" collapsed="false">
      <c r="A355" s="20" t="str">
        <f aca="false">IF(C355="","",ROW()-12)</f>
        <v/>
      </c>
      <c r="B355" s="21" t="str">
        <f aca="false">IF(C355="","",WORKDAY($C$5-1,A355,'NSE Holidays'!$A$5:$A$64))</f>
        <v/>
      </c>
      <c r="C355" s="22" t="str">
        <f aca="false">IF(C354="","",IF(OR(IF(ISNUMBER(G354),H354,F354)&gt;=$C$7,IF(ISNUMBER(G354),H354,F354)&lt;=0),"",IF(ISNUMBER(G354),H354,F354)))</f>
        <v/>
      </c>
      <c r="D355" s="22" t="str">
        <f aca="false">IF(C355="","",ROUND(C355*$C$8,2))</f>
        <v/>
      </c>
      <c r="E355" s="22" t="str">
        <f aca="false">IF(C355="","",ROUND(C355*$C$9,2))</f>
        <v/>
      </c>
      <c r="F355" s="22" t="str">
        <f aca="false">IF(C355="","",C355+D355)</f>
        <v/>
      </c>
      <c r="G355" s="23" t="str">
        <f aca="false">IF(OR(C355="",NOT(ISNUMBER(H355))),"",ROUND(H355-C355,2))</f>
        <v/>
      </c>
      <c r="H355" s="24"/>
      <c r="I355" s="25" t="str">
        <f aca="false">IF(C355="","",IF(ISNUMBER(G355),IF(G355&lt;-E355,"Actual – Loss (limit breached)",IF(G355&lt;0,"Actual – Loss",IF(G355&gt;0,"Actual – Profit","Actual – No trade"))),"Projection"))</f>
        <v/>
      </c>
      <c r="J355" s="26"/>
      <c r="K355" s="27"/>
    </row>
    <row r="356" customFormat="false" ht="15" hidden="false" customHeight="false" outlineLevel="0" collapsed="false">
      <c r="A356" s="20" t="str">
        <f aca="false">IF(C356="","",ROW()-12)</f>
        <v/>
      </c>
      <c r="B356" s="21" t="str">
        <f aca="false">IF(C356="","",WORKDAY($C$5-1,A356,'NSE Holidays'!$A$5:$A$64))</f>
        <v/>
      </c>
      <c r="C356" s="22" t="str">
        <f aca="false">IF(C355="","",IF(OR(IF(ISNUMBER(G355),H355,F355)&gt;=$C$7,IF(ISNUMBER(G355),H355,F355)&lt;=0),"",IF(ISNUMBER(G355),H355,F355)))</f>
        <v/>
      </c>
      <c r="D356" s="22" t="str">
        <f aca="false">IF(C356="","",ROUND(C356*$C$8,2))</f>
        <v/>
      </c>
      <c r="E356" s="22" t="str">
        <f aca="false">IF(C356="","",ROUND(C356*$C$9,2))</f>
        <v/>
      </c>
      <c r="F356" s="22" t="str">
        <f aca="false">IF(C356="","",C356+D356)</f>
        <v/>
      </c>
      <c r="G356" s="23" t="str">
        <f aca="false">IF(OR(C356="",NOT(ISNUMBER(H356))),"",ROUND(H356-C356,2))</f>
        <v/>
      </c>
      <c r="H356" s="24"/>
      <c r="I356" s="25" t="str">
        <f aca="false">IF(C356="","",IF(ISNUMBER(G356),IF(G356&lt;-E356,"Actual – Loss (limit breached)",IF(G356&lt;0,"Actual – Loss",IF(G356&gt;0,"Actual – Profit","Actual – No trade"))),"Projection"))</f>
        <v/>
      </c>
      <c r="J356" s="26"/>
      <c r="K356" s="27"/>
    </row>
    <row r="357" customFormat="false" ht="15" hidden="false" customHeight="false" outlineLevel="0" collapsed="false">
      <c r="A357" s="20" t="str">
        <f aca="false">IF(C357="","",ROW()-12)</f>
        <v/>
      </c>
      <c r="B357" s="21" t="str">
        <f aca="false">IF(C357="","",WORKDAY($C$5-1,A357,'NSE Holidays'!$A$5:$A$64))</f>
        <v/>
      </c>
      <c r="C357" s="22" t="str">
        <f aca="false">IF(C356="","",IF(OR(IF(ISNUMBER(G356),H356,F356)&gt;=$C$7,IF(ISNUMBER(G356),H356,F356)&lt;=0),"",IF(ISNUMBER(G356),H356,F356)))</f>
        <v/>
      </c>
      <c r="D357" s="22" t="str">
        <f aca="false">IF(C357="","",ROUND(C357*$C$8,2))</f>
        <v/>
      </c>
      <c r="E357" s="22" t="str">
        <f aca="false">IF(C357="","",ROUND(C357*$C$9,2))</f>
        <v/>
      </c>
      <c r="F357" s="22" t="str">
        <f aca="false">IF(C357="","",C357+D357)</f>
        <v/>
      </c>
      <c r="G357" s="23" t="str">
        <f aca="false">IF(OR(C357="",NOT(ISNUMBER(H357))),"",ROUND(H357-C357,2))</f>
        <v/>
      </c>
      <c r="H357" s="24"/>
      <c r="I357" s="25" t="str">
        <f aca="false">IF(C357="","",IF(ISNUMBER(G357),IF(G357&lt;-E357,"Actual – Loss (limit breached)",IF(G357&lt;0,"Actual – Loss",IF(G357&gt;0,"Actual – Profit","Actual – No trade"))),"Projection"))</f>
        <v/>
      </c>
      <c r="J357" s="26"/>
      <c r="K357" s="27"/>
    </row>
    <row r="358" customFormat="false" ht="15" hidden="false" customHeight="false" outlineLevel="0" collapsed="false">
      <c r="A358" s="20" t="str">
        <f aca="false">IF(C358="","",ROW()-12)</f>
        <v/>
      </c>
      <c r="B358" s="21" t="str">
        <f aca="false">IF(C358="","",WORKDAY($C$5-1,A358,'NSE Holidays'!$A$5:$A$64))</f>
        <v/>
      </c>
      <c r="C358" s="22" t="str">
        <f aca="false">IF(C357="","",IF(OR(IF(ISNUMBER(G357),H357,F357)&gt;=$C$7,IF(ISNUMBER(G357),H357,F357)&lt;=0),"",IF(ISNUMBER(G357),H357,F357)))</f>
        <v/>
      </c>
      <c r="D358" s="22" t="str">
        <f aca="false">IF(C358="","",ROUND(C358*$C$8,2))</f>
        <v/>
      </c>
      <c r="E358" s="22" t="str">
        <f aca="false">IF(C358="","",ROUND(C358*$C$9,2))</f>
        <v/>
      </c>
      <c r="F358" s="22" t="str">
        <f aca="false">IF(C358="","",C358+D358)</f>
        <v/>
      </c>
      <c r="G358" s="23" t="str">
        <f aca="false">IF(OR(C358="",NOT(ISNUMBER(H358))),"",ROUND(H358-C358,2))</f>
        <v/>
      </c>
      <c r="H358" s="24"/>
      <c r="I358" s="25" t="str">
        <f aca="false">IF(C358="","",IF(ISNUMBER(G358),IF(G358&lt;-E358,"Actual – Loss (limit breached)",IF(G358&lt;0,"Actual – Loss",IF(G358&gt;0,"Actual – Profit","Actual – No trade"))),"Projection"))</f>
        <v/>
      </c>
      <c r="J358" s="26"/>
      <c r="K358" s="27"/>
    </row>
    <row r="359" customFormat="false" ht="15" hidden="false" customHeight="false" outlineLevel="0" collapsed="false">
      <c r="A359" s="20" t="str">
        <f aca="false">IF(C359="","",ROW()-12)</f>
        <v/>
      </c>
      <c r="B359" s="21" t="str">
        <f aca="false">IF(C359="","",WORKDAY($C$5-1,A359,'NSE Holidays'!$A$5:$A$64))</f>
        <v/>
      </c>
      <c r="C359" s="22" t="str">
        <f aca="false">IF(C358="","",IF(OR(IF(ISNUMBER(G358),H358,F358)&gt;=$C$7,IF(ISNUMBER(G358),H358,F358)&lt;=0),"",IF(ISNUMBER(G358),H358,F358)))</f>
        <v/>
      </c>
      <c r="D359" s="22" t="str">
        <f aca="false">IF(C359="","",ROUND(C359*$C$8,2))</f>
        <v/>
      </c>
      <c r="E359" s="22" t="str">
        <f aca="false">IF(C359="","",ROUND(C359*$C$9,2))</f>
        <v/>
      </c>
      <c r="F359" s="22" t="str">
        <f aca="false">IF(C359="","",C359+D359)</f>
        <v/>
      </c>
      <c r="G359" s="23" t="str">
        <f aca="false">IF(OR(C359="",NOT(ISNUMBER(H359))),"",ROUND(H359-C359,2))</f>
        <v/>
      </c>
      <c r="H359" s="24"/>
      <c r="I359" s="25" t="str">
        <f aca="false">IF(C359="","",IF(ISNUMBER(G359),IF(G359&lt;-E359,"Actual – Loss (limit breached)",IF(G359&lt;0,"Actual – Loss",IF(G359&gt;0,"Actual – Profit","Actual – No trade"))),"Projection"))</f>
        <v/>
      </c>
      <c r="J359" s="26"/>
      <c r="K359" s="27"/>
    </row>
    <row r="360" customFormat="false" ht="15" hidden="false" customHeight="false" outlineLevel="0" collapsed="false">
      <c r="A360" s="20" t="str">
        <f aca="false">IF(C360="","",ROW()-12)</f>
        <v/>
      </c>
      <c r="B360" s="21" t="str">
        <f aca="false">IF(C360="","",WORKDAY($C$5-1,A360,'NSE Holidays'!$A$5:$A$64))</f>
        <v/>
      </c>
      <c r="C360" s="22" t="str">
        <f aca="false">IF(C359="","",IF(OR(IF(ISNUMBER(G359),H359,F359)&gt;=$C$7,IF(ISNUMBER(G359),H359,F359)&lt;=0),"",IF(ISNUMBER(G359),H359,F359)))</f>
        <v/>
      </c>
      <c r="D360" s="22" t="str">
        <f aca="false">IF(C360="","",ROUND(C360*$C$8,2))</f>
        <v/>
      </c>
      <c r="E360" s="22" t="str">
        <f aca="false">IF(C360="","",ROUND(C360*$C$9,2))</f>
        <v/>
      </c>
      <c r="F360" s="22" t="str">
        <f aca="false">IF(C360="","",C360+D360)</f>
        <v/>
      </c>
      <c r="G360" s="23" t="str">
        <f aca="false">IF(OR(C360="",NOT(ISNUMBER(H360))),"",ROUND(H360-C360,2))</f>
        <v/>
      </c>
      <c r="H360" s="24"/>
      <c r="I360" s="25" t="str">
        <f aca="false">IF(C360="","",IF(ISNUMBER(G360),IF(G360&lt;-E360,"Actual – Loss (limit breached)",IF(G360&lt;0,"Actual – Loss",IF(G360&gt;0,"Actual – Profit","Actual – No trade"))),"Projection"))</f>
        <v/>
      </c>
      <c r="J360" s="26"/>
      <c r="K360" s="27"/>
    </row>
    <row r="361" customFormat="false" ht="15" hidden="false" customHeight="false" outlineLevel="0" collapsed="false">
      <c r="A361" s="20" t="str">
        <f aca="false">IF(C361="","",ROW()-12)</f>
        <v/>
      </c>
      <c r="B361" s="21" t="str">
        <f aca="false">IF(C361="","",WORKDAY($C$5-1,A361,'NSE Holidays'!$A$5:$A$64))</f>
        <v/>
      </c>
      <c r="C361" s="22" t="str">
        <f aca="false">IF(C360="","",IF(OR(IF(ISNUMBER(G360),H360,F360)&gt;=$C$7,IF(ISNUMBER(G360),H360,F360)&lt;=0),"",IF(ISNUMBER(G360),H360,F360)))</f>
        <v/>
      </c>
      <c r="D361" s="22" t="str">
        <f aca="false">IF(C361="","",ROUND(C361*$C$8,2))</f>
        <v/>
      </c>
      <c r="E361" s="22" t="str">
        <f aca="false">IF(C361="","",ROUND(C361*$C$9,2))</f>
        <v/>
      </c>
      <c r="F361" s="22" t="str">
        <f aca="false">IF(C361="","",C361+D361)</f>
        <v/>
      </c>
      <c r="G361" s="23" t="str">
        <f aca="false">IF(OR(C361="",NOT(ISNUMBER(H361))),"",ROUND(H361-C361,2))</f>
        <v/>
      </c>
      <c r="H361" s="24"/>
      <c r="I361" s="25" t="str">
        <f aca="false">IF(C361="","",IF(ISNUMBER(G361),IF(G361&lt;-E361,"Actual – Loss (limit breached)",IF(G361&lt;0,"Actual – Loss",IF(G361&gt;0,"Actual – Profit","Actual – No trade"))),"Projection"))</f>
        <v/>
      </c>
      <c r="J361" s="26"/>
      <c r="K361" s="27"/>
    </row>
    <row r="362" customFormat="false" ht="15" hidden="false" customHeight="false" outlineLevel="0" collapsed="false">
      <c r="A362" s="20" t="str">
        <f aca="false">IF(C362="","",ROW()-12)</f>
        <v/>
      </c>
      <c r="B362" s="21" t="str">
        <f aca="false">IF(C362="","",WORKDAY($C$5-1,A362,'NSE Holidays'!$A$5:$A$64))</f>
        <v/>
      </c>
      <c r="C362" s="22" t="str">
        <f aca="false">IF(C361="","",IF(OR(IF(ISNUMBER(G361),H361,F361)&gt;=$C$7,IF(ISNUMBER(G361),H361,F361)&lt;=0),"",IF(ISNUMBER(G361),H361,F361)))</f>
        <v/>
      </c>
      <c r="D362" s="22" t="str">
        <f aca="false">IF(C362="","",ROUND(C362*$C$8,2))</f>
        <v/>
      </c>
      <c r="E362" s="22" t="str">
        <f aca="false">IF(C362="","",ROUND(C362*$C$9,2))</f>
        <v/>
      </c>
      <c r="F362" s="22" t="str">
        <f aca="false">IF(C362="","",C362+D362)</f>
        <v/>
      </c>
      <c r="G362" s="23" t="str">
        <f aca="false">IF(OR(C362="",NOT(ISNUMBER(H362))),"",ROUND(H362-C362,2))</f>
        <v/>
      </c>
      <c r="H362" s="24"/>
      <c r="I362" s="25" t="str">
        <f aca="false">IF(C362="","",IF(ISNUMBER(G362),IF(G362&lt;-E362,"Actual – Loss (limit breached)",IF(G362&lt;0,"Actual – Loss",IF(G362&gt;0,"Actual – Profit","Actual – No trade"))),"Projection"))</f>
        <v/>
      </c>
      <c r="J362" s="26"/>
      <c r="K362" s="27"/>
    </row>
    <row r="363" customFormat="false" ht="15" hidden="false" customHeight="false" outlineLevel="0" collapsed="false">
      <c r="A363" s="20" t="str">
        <f aca="false">IF(C363="","",ROW()-12)</f>
        <v/>
      </c>
      <c r="B363" s="21" t="str">
        <f aca="false">IF(C363="","",WORKDAY($C$5-1,A363,'NSE Holidays'!$A$5:$A$64))</f>
        <v/>
      </c>
      <c r="C363" s="22" t="str">
        <f aca="false">IF(C362="","",IF(OR(IF(ISNUMBER(G362),H362,F362)&gt;=$C$7,IF(ISNUMBER(G362),H362,F362)&lt;=0),"",IF(ISNUMBER(G362),H362,F362)))</f>
        <v/>
      </c>
      <c r="D363" s="22" t="str">
        <f aca="false">IF(C363="","",ROUND(C363*$C$8,2))</f>
        <v/>
      </c>
      <c r="E363" s="22" t="str">
        <f aca="false">IF(C363="","",ROUND(C363*$C$9,2))</f>
        <v/>
      </c>
      <c r="F363" s="22" t="str">
        <f aca="false">IF(C363="","",C363+D363)</f>
        <v/>
      </c>
      <c r="G363" s="23" t="str">
        <f aca="false">IF(OR(C363="",NOT(ISNUMBER(H363))),"",ROUND(H363-C363,2))</f>
        <v/>
      </c>
      <c r="H363" s="24"/>
      <c r="I363" s="25" t="str">
        <f aca="false">IF(C363="","",IF(ISNUMBER(G363),IF(G363&lt;-E363,"Actual – Loss (limit breached)",IF(G363&lt;0,"Actual – Loss",IF(G363&gt;0,"Actual – Profit","Actual – No trade"))),"Projection"))</f>
        <v/>
      </c>
      <c r="J363" s="26"/>
      <c r="K363" s="27"/>
    </row>
    <row r="364" customFormat="false" ht="15" hidden="false" customHeight="false" outlineLevel="0" collapsed="false">
      <c r="A364" s="20" t="str">
        <f aca="false">IF(C364="","",ROW()-12)</f>
        <v/>
      </c>
      <c r="B364" s="21" t="str">
        <f aca="false">IF(C364="","",WORKDAY($C$5-1,A364,'NSE Holidays'!$A$5:$A$64))</f>
        <v/>
      </c>
      <c r="C364" s="22" t="str">
        <f aca="false">IF(C363="","",IF(OR(IF(ISNUMBER(G363),H363,F363)&gt;=$C$7,IF(ISNUMBER(G363),H363,F363)&lt;=0),"",IF(ISNUMBER(G363),H363,F363)))</f>
        <v/>
      </c>
      <c r="D364" s="22" t="str">
        <f aca="false">IF(C364="","",ROUND(C364*$C$8,2))</f>
        <v/>
      </c>
      <c r="E364" s="22" t="str">
        <f aca="false">IF(C364="","",ROUND(C364*$C$9,2))</f>
        <v/>
      </c>
      <c r="F364" s="22" t="str">
        <f aca="false">IF(C364="","",C364+D364)</f>
        <v/>
      </c>
      <c r="G364" s="23" t="str">
        <f aca="false">IF(OR(C364="",NOT(ISNUMBER(H364))),"",ROUND(H364-C364,2))</f>
        <v/>
      </c>
      <c r="H364" s="24"/>
      <c r="I364" s="25" t="str">
        <f aca="false">IF(C364="","",IF(ISNUMBER(G364),IF(G364&lt;-E364,"Actual – Loss (limit breached)",IF(G364&lt;0,"Actual – Loss",IF(G364&gt;0,"Actual – Profit","Actual – No trade"))),"Projection"))</f>
        <v/>
      </c>
      <c r="J364" s="26"/>
      <c r="K364" s="27"/>
    </row>
    <row r="365" customFormat="false" ht="15" hidden="false" customHeight="false" outlineLevel="0" collapsed="false">
      <c r="A365" s="20" t="str">
        <f aca="false">IF(C365="","",ROW()-12)</f>
        <v/>
      </c>
      <c r="B365" s="21" t="str">
        <f aca="false">IF(C365="","",WORKDAY($C$5-1,A365,'NSE Holidays'!$A$5:$A$64))</f>
        <v/>
      </c>
      <c r="C365" s="22" t="str">
        <f aca="false">IF(C364="","",IF(OR(IF(ISNUMBER(G364),H364,F364)&gt;=$C$7,IF(ISNUMBER(G364),H364,F364)&lt;=0),"",IF(ISNUMBER(G364),H364,F364)))</f>
        <v/>
      </c>
      <c r="D365" s="22" t="str">
        <f aca="false">IF(C365="","",ROUND(C365*$C$8,2))</f>
        <v/>
      </c>
      <c r="E365" s="22" t="str">
        <f aca="false">IF(C365="","",ROUND(C365*$C$9,2))</f>
        <v/>
      </c>
      <c r="F365" s="22" t="str">
        <f aca="false">IF(C365="","",C365+D365)</f>
        <v/>
      </c>
      <c r="G365" s="23" t="str">
        <f aca="false">IF(OR(C365="",NOT(ISNUMBER(H365))),"",ROUND(H365-C365,2))</f>
        <v/>
      </c>
      <c r="H365" s="24"/>
      <c r="I365" s="25" t="str">
        <f aca="false">IF(C365="","",IF(ISNUMBER(G365),IF(G365&lt;-E365,"Actual – Loss (limit breached)",IF(G365&lt;0,"Actual – Loss",IF(G365&gt;0,"Actual – Profit","Actual – No trade"))),"Projection"))</f>
        <v/>
      </c>
      <c r="J365" s="26"/>
      <c r="K365" s="27"/>
    </row>
    <row r="366" customFormat="false" ht="15" hidden="false" customHeight="false" outlineLevel="0" collapsed="false">
      <c r="A366" s="20" t="str">
        <f aca="false">IF(C366="","",ROW()-12)</f>
        <v/>
      </c>
      <c r="B366" s="21" t="str">
        <f aca="false">IF(C366="","",WORKDAY($C$5-1,A366,'NSE Holidays'!$A$5:$A$64))</f>
        <v/>
      </c>
      <c r="C366" s="22" t="str">
        <f aca="false">IF(C365="","",IF(OR(IF(ISNUMBER(G365),H365,F365)&gt;=$C$7,IF(ISNUMBER(G365),H365,F365)&lt;=0),"",IF(ISNUMBER(G365),H365,F365)))</f>
        <v/>
      </c>
      <c r="D366" s="22" t="str">
        <f aca="false">IF(C366="","",ROUND(C366*$C$8,2))</f>
        <v/>
      </c>
      <c r="E366" s="22" t="str">
        <f aca="false">IF(C366="","",ROUND(C366*$C$9,2))</f>
        <v/>
      </c>
      <c r="F366" s="22" t="str">
        <f aca="false">IF(C366="","",C366+D366)</f>
        <v/>
      </c>
      <c r="G366" s="23" t="str">
        <f aca="false">IF(OR(C366="",NOT(ISNUMBER(H366))),"",ROUND(H366-C366,2))</f>
        <v/>
      </c>
      <c r="H366" s="24"/>
      <c r="I366" s="25" t="str">
        <f aca="false">IF(C366="","",IF(ISNUMBER(G366),IF(G366&lt;-E366,"Actual – Loss (limit breached)",IF(G366&lt;0,"Actual – Loss",IF(G366&gt;0,"Actual – Profit","Actual – No trade"))),"Projection"))</f>
        <v/>
      </c>
      <c r="J366" s="26"/>
      <c r="K366" s="27"/>
    </row>
    <row r="367" customFormat="false" ht="15" hidden="false" customHeight="false" outlineLevel="0" collapsed="false">
      <c r="A367" s="20" t="str">
        <f aca="false">IF(C367="","",ROW()-12)</f>
        <v/>
      </c>
      <c r="B367" s="21" t="str">
        <f aca="false">IF(C367="","",WORKDAY($C$5-1,A367,'NSE Holidays'!$A$5:$A$64))</f>
        <v/>
      </c>
      <c r="C367" s="22" t="str">
        <f aca="false">IF(C366="","",IF(OR(IF(ISNUMBER(G366),H366,F366)&gt;=$C$7,IF(ISNUMBER(G366),H366,F366)&lt;=0),"",IF(ISNUMBER(G366),H366,F366)))</f>
        <v/>
      </c>
      <c r="D367" s="22" t="str">
        <f aca="false">IF(C367="","",ROUND(C367*$C$8,2))</f>
        <v/>
      </c>
      <c r="E367" s="22" t="str">
        <f aca="false">IF(C367="","",ROUND(C367*$C$9,2))</f>
        <v/>
      </c>
      <c r="F367" s="22" t="str">
        <f aca="false">IF(C367="","",C367+D367)</f>
        <v/>
      </c>
      <c r="G367" s="23" t="str">
        <f aca="false">IF(OR(C367="",NOT(ISNUMBER(H367))),"",ROUND(H367-C367,2))</f>
        <v/>
      </c>
      <c r="H367" s="24"/>
      <c r="I367" s="25" t="str">
        <f aca="false">IF(C367="","",IF(ISNUMBER(G367),IF(G367&lt;-E367,"Actual – Loss (limit breached)",IF(G367&lt;0,"Actual – Loss",IF(G367&gt;0,"Actual – Profit","Actual – No trade"))),"Projection"))</f>
        <v/>
      </c>
      <c r="J367" s="26"/>
      <c r="K367" s="27"/>
    </row>
    <row r="368" customFormat="false" ht="15" hidden="false" customHeight="false" outlineLevel="0" collapsed="false">
      <c r="A368" s="20" t="str">
        <f aca="false">IF(C368="","",ROW()-12)</f>
        <v/>
      </c>
      <c r="B368" s="21" t="str">
        <f aca="false">IF(C368="","",WORKDAY($C$5-1,A368,'NSE Holidays'!$A$5:$A$64))</f>
        <v/>
      </c>
      <c r="C368" s="22" t="str">
        <f aca="false">IF(C367="","",IF(OR(IF(ISNUMBER(G367),H367,F367)&gt;=$C$7,IF(ISNUMBER(G367),H367,F367)&lt;=0),"",IF(ISNUMBER(G367),H367,F367)))</f>
        <v/>
      </c>
      <c r="D368" s="22" t="str">
        <f aca="false">IF(C368="","",ROUND(C368*$C$8,2))</f>
        <v/>
      </c>
      <c r="E368" s="22" t="str">
        <f aca="false">IF(C368="","",ROUND(C368*$C$9,2))</f>
        <v/>
      </c>
      <c r="F368" s="22" t="str">
        <f aca="false">IF(C368="","",C368+D368)</f>
        <v/>
      </c>
      <c r="G368" s="23" t="str">
        <f aca="false">IF(OR(C368="",NOT(ISNUMBER(H368))),"",ROUND(H368-C368,2))</f>
        <v/>
      </c>
      <c r="H368" s="24"/>
      <c r="I368" s="25" t="str">
        <f aca="false">IF(C368="","",IF(ISNUMBER(G368),IF(G368&lt;-E368,"Actual – Loss (limit breached)",IF(G368&lt;0,"Actual – Loss",IF(G368&gt;0,"Actual – Profit","Actual – No trade"))),"Projection"))</f>
        <v/>
      </c>
      <c r="J368" s="26"/>
      <c r="K368" s="27"/>
    </row>
    <row r="369" customFormat="false" ht="15" hidden="false" customHeight="false" outlineLevel="0" collapsed="false">
      <c r="A369" s="20" t="str">
        <f aca="false">IF(C369="","",ROW()-12)</f>
        <v/>
      </c>
      <c r="B369" s="21" t="str">
        <f aca="false">IF(C369="","",WORKDAY($C$5-1,A369,'NSE Holidays'!$A$5:$A$64))</f>
        <v/>
      </c>
      <c r="C369" s="22" t="str">
        <f aca="false">IF(C368="","",IF(OR(IF(ISNUMBER(G368),H368,F368)&gt;=$C$7,IF(ISNUMBER(G368),H368,F368)&lt;=0),"",IF(ISNUMBER(G368),H368,F368)))</f>
        <v/>
      </c>
      <c r="D369" s="22" t="str">
        <f aca="false">IF(C369="","",ROUND(C369*$C$8,2))</f>
        <v/>
      </c>
      <c r="E369" s="22" t="str">
        <f aca="false">IF(C369="","",ROUND(C369*$C$9,2))</f>
        <v/>
      </c>
      <c r="F369" s="22" t="str">
        <f aca="false">IF(C369="","",C369+D369)</f>
        <v/>
      </c>
      <c r="G369" s="23" t="str">
        <f aca="false">IF(OR(C369="",NOT(ISNUMBER(H369))),"",ROUND(H369-C369,2))</f>
        <v/>
      </c>
      <c r="H369" s="24"/>
      <c r="I369" s="25" t="str">
        <f aca="false">IF(C369="","",IF(ISNUMBER(G369),IF(G369&lt;-E369,"Actual – Loss (limit breached)",IF(G369&lt;0,"Actual – Loss",IF(G369&gt;0,"Actual – Profit","Actual – No trade"))),"Projection"))</f>
        <v/>
      </c>
      <c r="J369" s="26"/>
      <c r="K369" s="27"/>
    </row>
    <row r="370" customFormat="false" ht="15" hidden="false" customHeight="false" outlineLevel="0" collapsed="false">
      <c r="A370" s="20" t="str">
        <f aca="false">IF(C370="","",ROW()-12)</f>
        <v/>
      </c>
      <c r="B370" s="21" t="str">
        <f aca="false">IF(C370="","",WORKDAY($C$5-1,A370,'NSE Holidays'!$A$5:$A$64))</f>
        <v/>
      </c>
      <c r="C370" s="22" t="str">
        <f aca="false">IF(C369="","",IF(OR(IF(ISNUMBER(G369),H369,F369)&gt;=$C$7,IF(ISNUMBER(G369),H369,F369)&lt;=0),"",IF(ISNUMBER(G369),H369,F369)))</f>
        <v/>
      </c>
      <c r="D370" s="22" t="str">
        <f aca="false">IF(C370="","",ROUND(C370*$C$8,2))</f>
        <v/>
      </c>
      <c r="E370" s="22" t="str">
        <f aca="false">IF(C370="","",ROUND(C370*$C$9,2))</f>
        <v/>
      </c>
      <c r="F370" s="22" t="str">
        <f aca="false">IF(C370="","",C370+D370)</f>
        <v/>
      </c>
      <c r="G370" s="23" t="str">
        <f aca="false">IF(OR(C370="",NOT(ISNUMBER(H370))),"",ROUND(H370-C370,2))</f>
        <v/>
      </c>
      <c r="H370" s="24"/>
      <c r="I370" s="25" t="str">
        <f aca="false">IF(C370="","",IF(ISNUMBER(G370),IF(G370&lt;-E370,"Actual – Loss (limit breached)",IF(G370&lt;0,"Actual – Loss",IF(G370&gt;0,"Actual – Profit","Actual – No trade"))),"Projection"))</f>
        <v/>
      </c>
      <c r="J370" s="26"/>
      <c r="K370" s="27"/>
    </row>
    <row r="371" customFormat="false" ht="15" hidden="false" customHeight="false" outlineLevel="0" collapsed="false">
      <c r="A371" s="20" t="str">
        <f aca="false">IF(C371="","",ROW()-12)</f>
        <v/>
      </c>
      <c r="B371" s="21" t="str">
        <f aca="false">IF(C371="","",WORKDAY($C$5-1,A371,'NSE Holidays'!$A$5:$A$64))</f>
        <v/>
      </c>
      <c r="C371" s="22" t="str">
        <f aca="false">IF(C370="","",IF(OR(IF(ISNUMBER(G370),H370,F370)&gt;=$C$7,IF(ISNUMBER(G370),H370,F370)&lt;=0),"",IF(ISNUMBER(G370),H370,F370)))</f>
        <v/>
      </c>
      <c r="D371" s="22" t="str">
        <f aca="false">IF(C371="","",ROUND(C371*$C$8,2))</f>
        <v/>
      </c>
      <c r="E371" s="22" t="str">
        <f aca="false">IF(C371="","",ROUND(C371*$C$9,2))</f>
        <v/>
      </c>
      <c r="F371" s="22" t="str">
        <f aca="false">IF(C371="","",C371+D371)</f>
        <v/>
      </c>
      <c r="G371" s="23" t="str">
        <f aca="false">IF(OR(C371="",NOT(ISNUMBER(H371))),"",ROUND(H371-C371,2))</f>
        <v/>
      </c>
      <c r="H371" s="24"/>
      <c r="I371" s="25" t="str">
        <f aca="false">IF(C371="","",IF(ISNUMBER(G371),IF(G371&lt;-E371,"Actual – Loss (limit breached)",IF(G371&lt;0,"Actual – Loss",IF(G371&gt;0,"Actual – Profit","Actual – No trade"))),"Projection"))</f>
        <v/>
      </c>
      <c r="J371" s="26"/>
      <c r="K371" s="27"/>
    </row>
    <row r="372" customFormat="false" ht="15" hidden="false" customHeight="false" outlineLevel="0" collapsed="false">
      <c r="A372" s="20" t="str">
        <f aca="false">IF(C372="","",ROW()-12)</f>
        <v/>
      </c>
      <c r="B372" s="21" t="str">
        <f aca="false">IF(C372="","",WORKDAY($C$5-1,A372,'NSE Holidays'!$A$5:$A$64))</f>
        <v/>
      </c>
      <c r="C372" s="22" t="str">
        <f aca="false">IF(C371="","",IF(OR(IF(ISNUMBER(G371),H371,F371)&gt;=$C$7,IF(ISNUMBER(G371),H371,F371)&lt;=0),"",IF(ISNUMBER(G371),H371,F371)))</f>
        <v/>
      </c>
      <c r="D372" s="22" t="str">
        <f aca="false">IF(C372="","",ROUND(C372*$C$8,2))</f>
        <v/>
      </c>
      <c r="E372" s="22" t="str">
        <f aca="false">IF(C372="","",ROUND(C372*$C$9,2))</f>
        <v/>
      </c>
      <c r="F372" s="22" t="str">
        <f aca="false">IF(C372="","",C372+D372)</f>
        <v/>
      </c>
      <c r="G372" s="23" t="str">
        <f aca="false">IF(OR(C372="",NOT(ISNUMBER(H372))),"",ROUND(H372-C372,2))</f>
        <v/>
      </c>
      <c r="H372" s="24"/>
      <c r="I372" s="25" t="str">
        <f aca="false">IF(C372="","",IF(ISNUMBER(G372),IF(G372&lt;-E372,"Actual – Loss (limit breached)",IF(G372&lt;0,"Actual – Loss",IF(G372&gt;0,"Actual – Profit","Actual – No trade"))),"Projection"))</f>
        <v/>
      </c>
      <c r="J372" s="26"/>
      <c r="K372" s="27"/>
    </row>
    <row r="373" customFormat="false" ht="15" hidden="false" customHeight="false" outlineLevel="0" collapsed="false">
      <c r="A373" s="20" t="str">
        <f aca="false">IF(C373="","",ROW()-12)</f>
        <v/>
      </c>
      <c r="B373" s="21" t="str">
        <f aca="false">IF(C373="","",WORKDAY($C$5-1,A373,'NSE Holidays'!$A$5:$A$64))</f>
        <v/>
      </c>
      <c r="C373" s="22" t="str">
        <f aca="false">IF(C372="","",IF(OR(IF(ISNUMBER(G372),H372,F372)&gt;=$C$7,IF(ISNUMBER(G372),H372,F372)&lt;=0),"",IF(ISNUMBER(G372),H372,F372)))</f>
        <v/>
      </c>
      <c r="D373" s="22" t="str">
        <f aca="false">IF(C373="","",ROUND(C373*$C$8,2))</f>
        <v/>
      </c>
      <c r="E373" s="22" t="str">
        <f aca="false">IF(C373="","",ROUND(C373*$C$9,2))</f>
        <v/>
      </c>
      <c r="F373" s="22" t="str">
        <f aca="false">IF(C373="","",C373+D373)</f>
        <v/>
      </c>
      <c r="G373" s="23" t="str">
        <f aca="false">IF(OR(C373="",NOT(ISNUMBER(H373))),"",ROUND(H373-C373,2))</f>
        <v/>
      </c>
      <c r="H373" s="24"/>
      <c r="I373" s="25" t="str">
        <f aca="false">IF(C373="","",IF(ISNUMBER(G373),IF(G373&lt;-E373,"Actual – Loss (limit breached)",IF(G373&lt;0,"Actual – Loss",IF(G373&gt;0,"Actual – Profit","Actual – No trade"))),"Projection"))</f>
        <v/>
      </c>
      <c r="J373" s="26"/>
      <c r="K373" s="27"/>
    </row>
    <row r="374" customFormat="false" ht="15" hidden="false" customHeight="false" outlineLevel="0" collapsed="false">
      <c r="A374" s="20" t="str">
        <f aca="false">IF(C374="","",ROW()-12)</f>
        <v/>
      </c>
      <c r="B374" s="21" t="str">
        <f aca="false">IF(C374="","",WORKDAY($C$5-1,A374,'NSE Holidays'!$A$5:$A$64))</f>
        <v/>
      </c>
      <c r="C374" s="22" t="str">
        <f aca="false">IF(C373="","",IF(OR(IF(ISNUMBER(G373),H373,F373)&gt;=$C$7,IF(ISNUMBER(G373),H373,F373)&lt;=0),"",IF(ISNUMBER(G373),H373,F373)))</f>
        <v/>
      </c>
      <c r="D374" s="22" t="str">
        <f aca="false">IF(C374="","",ROUND(C374*$C$8,2))</f>
        <v/>
      </c>
      <c r="E374" s="22" t="str">
        <f aca="false">IF(C374="","",ROUND(C374*$C$9,2))</f>
        <v/>
      </c>
      <c r="F374" s="22" t="str">
        <f aca="false">IF(C374="","",C374+D374)</f>
        <v/>
      </c>
      <c r="G374" s="23" t="str">
        <f aca="false">IF(OR(C374="",NOT(ISNUMBER(H374))),"",ROUND(H374-C374,2))</f>
        <v/>
      </c>
      <c r="H374" s="24"/>
      <c r="I374" s="25" t="str">
        <f aca="false">IF(C374="","",IF(ISNUMBER(G374),IF(G374&lt;-E374,"Actual – Loss (limit breached)",IF(G374&lt;0,"Actual – Loss",IF(G374&gt;0,"Actual – Profit","Actual – No trade"))),"Projection"))</f>
        <v/>
      </c>
      <c r="J374" s="26"/>
      <c r="K374" s="27"/>
    </row>
    <row r="375" customFormat="false" ht="15" hidden="false" customHeight="false" outlineLevel="0" collapsed="false">
      <c r="A375" s="20" t="str">
        <f aca="false">IF(C375="","",ROW()-12)</f>
        <v/>
      </c>
      <c r="B375" s="21" t="str">
        <f aca="false">IF(C375="","",WORKDAY($C$5-1,A375,'NSE Holidays'!$A$5:$A$64))</f>
        <v/>
      </c>
      <c r="C375" s="22" t="str">
        <f aca="false">IF(C374="","",IF(OR(IF(ISNUMBER(G374),H374,F374)&gt;=$C$7,IF(ISNUMBER(G374),H374,F374)&lt;=0),"",IF(ISNUMBER(G374),H374,F374)))</f>
        <v/>
      </c>
      <c r="D375" s="22" t="str">
        <f aca="false">IF(C375="","",ROUND(C375*$C$8,2))</f>
        <v/>
      </c>
      <c r="E375" s="22" t="str">
        <f aca="false">IF(C375="","",ROUND(C375*$C$9,2))</f>
        <v/>
      </c>
      <c r="F375" s="22" t="str">
        <f aca="false">IF(C375="","",C375+D375)</f>
        <v/>
      </c>
      <c r="G375" s="23" t="str">
        <f aca="false">IF(OR(C375="",NOT(ISNUMBER(H375))),"",ROUND(H375-C375,2))</f>
        <v/>
      </c>
      <c r="H375" s="24"/>
      <c r="I375" s="25" t="str">
        <f aca="false">IF(C375="","",IF(ISNUMBER(G375),IF(G375&lt;-E375,"Actual – Loss (limit breached)",IF(G375&lt;0,"Actual – Loss",IF(G375&gt;0,"Actual – Profit","Actual – No trade"))),"Projection"))</f>
        <v/>
      </c>
      <c r="J375" s="26"/>
      <c r="K375" s="27"/>
    </row>
    <row r="376" customFormat="false" ht="15" hidden="false" customHeight="false" outlineLevel="0" collapsed="false">
      <c r="A376" s="20" t="str">
        <f aca="false">IF(C376="","",ROW()-12)</f>
        <v/>
      </c>
      <c r="B376" s="21" t="str">
        <f aca="false">IF(C376="","",WORKDAY($C$5-1,A376,'NSE Holidays'!$A$5:$A$64))</f>
        <v/>
      </c>
      <c r="C376" s="22" t="str">
        <f aca="false">IF(C375="","",IF(OR(IF(ISNUMBER(G375),H375,F375)&gt;=$C$7,IF(ISNUMBER(G375),H375,F375)&lt;=0),"",IF(ISNUMBER(G375),H375,F375)))</f>
        <v/>
      </c>
      <c r="D376" s="22" t="str">
        <f aca="false">IF(C376="","",ROUND(C376*$C$8,2))</f>
        <v/>
      </c>
      <c r="E376" s="22" t="str">
        <f aca="false">IF(C376="","",ROUND(C376*$C$9,2))</f>
        <v/>
      </c>
      <c r="F376" s="22" t="str">
        <f aca="false">IF(C376="","",C376+D376)</f>
        <v/>
      </c>
      <c r="G376" s="23" t="str">
        <f aca="false">IF(OR(C376="",NOT(ISNUMBER(H376))),"",ROUND(H376-C376,2))</f>
        <v/>
      </c>
      <c r="H376" s="24"/>
      <c r="I376" s="25" t="str">
        <f aca="false">IF(C376="","",IF(ISNUMBER(G376),IF(G376&lt;-E376,"Actual – Loss (limit breached)",IF(G376&lt;0,"Actual – Loss",IF(G376&gt;0,"Actual – Profit","Actual – No trade"))),"Projection"))</f>
        <v/>
      </c>
      <c r="J376" s="26"/>
      <c r="K376" s="27"/>
    </row>
    <row r="377" customFormat="false" ht="15" hidden="false" customHeight="false" outlineLevel="0" collapsed="false">
      <c r="A377" s="20" t="str">
        <f aca="false">IF(C377="","",ROW()-12)</f>
        <v/>
      </c>
      <c r="B377" s="21" t="str">
        <f aca="false">IF(C377="","",WORKDAY($C$5-1,A377,'NSE Holidays'!$A$5:$A$64))</f>
        <v/>
      </c>
      <c r="C377" s="22" t="str">
        <f aca="false">IF(C376="","",IF(OR(IF(ISNUMBER(G376),H376,F376)&gt;=$C$7,IF(ISNUMBER(G376),H376,F376)&lt;=0),"",IF(ISNUMBER(G376),H376,F376)))</f>
        <v/>
      </c>
      <c r="D377" s="22" t="str">
        <f aca="false">IF(C377="","",ROUND(C377*$C$8,2))</f>
        <v/>
      </c>
      <c r="E377" s="22" t="str">
        <f aca="false">IF(C377="","",ROUND(C377*$C$9,2))</f>
        <v/>
      </c>
      <c r="F377" s="22" t="str">
        <f aca="false">IF(C377="","",C377+D377)</f>
        <v/>
      </c>
      <c r="G377" s="23" t="str">
        <f aca="false">IF(OR(C377="",NOT(ISNUMBER(H377))),"",ROUND(H377-C377,2))</f>
        <v/>
      </c>
      <c r="H377" s="24"/>
      <c r="I377" s="25" t="str">
        <f aca="false">IF(C377="","",IF(ISNUMBER(G377),IF(G377&lt;-E377,"Actual – Loss (limit breached)",IF(G377&lt;0,"Actual – Loss",IF(G377&gt;0,"Actual – Profit","Actual – No trade"))),"Projection"))</f>
        <v/>
      </c>
      <c r="J377" s="26"/>
      <c r="K377" s="27"/>
    </row>
    <row r="378" customFormat="false" ht="15" hidden="false" customHeight="false" outlineLevel="0" collapsed="false">
      <c r="A378" s="20" t="str">
        <f aca="false">IF(C378="","",ROW()-12)</f>
        <v/>
      </c>
      <c r="B378" s="21" t="str">
        <f aca="false">IF(C378="","",WORKDAY($C$5-1,A378,'NSE Holidays'!$A$5:$A$64))</f>
        <v/>
      </c>
      <c r="C378" s="22" t="str">
        <f aca="false">IF(C377="","",IF(OR(IF(ISNUMBER(G377),H377,F377)&gt;=$C$7,IF(ISNUMBER(G377),H377,F377)&lt;=0),"",IF(ISNUMBER(G377),H377,F377)))</f>
        <v/>
      </c>
      <c r="D378" s="22" t="str">
        <f aca="false">IF(C378="","",ROUND(C378*$C$8,2))</f>
        <v/>
      </c>
      <c r="E378" s="22" t="str">
        <f aca="false">IF(C378="","",ROUND(C378*$C$9,2))</f>
        <v/>
      </c>
      <c r="F378" s="22" t="str">
        <f aca="false">IF(C378="","",C378+D378)</f>
        <v/>
      </c>
      <c r="G378" s="23" t="str">
        <f aca="false">IF(OR(C378="",NOT(ISNUMBER(H378))),"",ROUND(H378-C378,2))</f>
        <v/>
      </c>
      <c r="H378" s="24"/>
      <c r="I378" s="25" t="str">
        <f aca="false">IF(C378="","",IF(ISNUMBER(G378),IF(G378&lt;-E378,"Actual – Loss (limit breached)",IF(G378&lt;0,"Actual – Loss",IF(G378&gt;0,"Actual – Profit","Actual – No trade"))),"Projection"))</f>
        <v/>
      </c>
      <c r="J378" s="26"/>
      <c r="K378" s="27"/>
    </row>
    <row r="379" customFormat="false" ht="15" hidden="false" customHeight="false" outlineLevel="0" collapsed="false">
      <c r="A379" s="20" t="str">
        <f aca="false">IF(C379="","",ROW()-12)</f>
        <v/>
      </c>
      <c r="B379" s="21" t="str">
        <f aca="false">IF(C379="","",WORKDAY($C$5-1,A379,'NSE Holidays'!$A$5:$A$64))</f>
        <v/>
      </c>
      <c r="C379" s="22" t="str">
        <f aca="false">IF(C378="","",IF(OR(IF(ISNUMBER(G378),H378,F378)&gt;=$C$7,IF(ISNUMBER(G378),H378,F378)&lt;=0),"",IF(ISNUMBER(G378),H378,F378)))</f>
        <v/>
      </c>
      <c r="D379" s="22" t="str">
        <f aca="false">IF(C379="","",ROUND(C379*$C$8,2))</f>
        <v/>
      </c>
      <c r="E379" s="22" t="str">
        <f aca="false">IF(C379="","",ROUND(C379*$C$9,2))</f>
        <v/>
      </c>
      <c r="F379" s="22" t="str">
        <f aca="false">IF(C379="","",C379+D379)</f>
        <v/>
      </c>
      <c r="G379" s="23" t="str">
        <f aca="false">IF(OR(C379="",NOT(ISNUMBER(H379))),"",ROUND(H379-C379,2))</f>
        <v/>
      </c>
      <c r="H379" s="24"/>
      <c r="I379" s="25" t="str">
        <f aca="false">IF(C379="","",IF(ISNUMBER(G379),IF(G379&lt;-E379,"Actual – Loss (limit breached)",IF(G379&lt;0,"Actual – Loss",IF(G379&gt;0,"Actual – Profit","Actual – No trade"))),"Projection"))</f>
        <v/>
      </c>
      <c r="J379" s="26"/>
      <c r="K379" s="27"/>
    </row>
    <row r="380" customFormat="false" ht="15" hidden="false" customHeight="false" outlineLevel="0" collapsed="false">
      <c r="A380" s="20" t="str">
        <f aca="false">IF(C380="","",ROW()-12)</f>
        <v/>
      </c>
      <c r="B380" s="21" t="str">
        <f aca="false">IF(C380="","",WORKDAY($C$5-1,A380,'NSE Holidays'!$A$5:$A$64))</f>
        <v/>
      </c>
      <c r="C380" s="22" t="str">
        <f aca="false">IF(C379="","",IF(OR(IF(ISNUMBER(G379),H379,F379)&gt;=$C$7,IF(ISNUMBER(G379),H379,F379)&lt;=0),"",IF(ISNUMBER(G379),H379,F379)))</f>
        <v/>
      </c>
      <c r="D380" s="22" t="str">
        <f aca="false">IF(C380="","",ROUND(C380*$C$8,2))</f>
        <v/>
      </c>
      <c r="E380" s="22" t="str">
        <f aca="false">IF(C380="","",ROUND(C380*$C$9,2))</f>
        <v/>
      </c>
      <c r="F380" s="22" t="str">
        <f aca="false">IF(C380="","",C380+D380)</f>
        <v/>
      </c>
      <c r="G380" s="23" t="str">
        <f aca="false">IF(OR(C380="",NOT(ISNUMBER(H380))),"",ROUND(H380-C380,2))</f>
        <v/>
      </c>
      <c r="H380" s="24"/>
      <c r="I380" s="25" t="str">
        <f aca="false">IF(C380="","",IF(ISNUMBER(G380),IF(G380&lt;-E380,"Actual – Loss (limit breached)",IF(G380&lt;0,"Actual – Loss",IF(G380&gt;0,"Actual – Profit","Actual – No trade"))),"Projection"))</f>
        <v/>
      </c>
      <c r="J380" s="26"/>
      <c r="K380" s="27"/>
    </row>
    <row r="381" customFormat="false" ht="15" hidden="false" customHeight="false" outlineLevel="0" collapsed="false">
      <c r="A381" s="20" t="str">
        <f aca="false">IF(C381="","",ROW()-12)</f>
        <v/>
      </c>
      <c r="B381" s="21" t="str">
        <f aca="false">IF(C381="","",WORKDAY($C$5-1,A381,'NSE Holidays'!$A$5:$A$64))</f>
        <v/>
      </c>
      <c r="C381" s="22" t="str">
        <f aca="false">IF(C380="","",IF(OR(IF(ISNUMBER(G380),H380,F380)&gt;=$C$7,IF(ISNUMBER(G380),H380,F380)&lt;=0),"",IF(ISNUMBER(G380),H380,F380)))</f>
        <v/>
      </c>
      <c r="D381" s="22" t="str">
        <f aca="false">IF(C381="","",ROUND(C381*$C$8,2))</f>
        <v/>
      </c>
      <c r="E381" s="22" t="str">
        <f aca="false">IF(C381="","",ROUND(C381*$C$9,2))</f>
        <v/>
      </c>
      <c r="F381" s="22" t="str">
        <f aca="false">IF(C381="","",C381+D381)</f>
        <v/>
      </c>
      <c r="G381" s="23" t="str">
        <f aca="false">IF(OR(C381="",NOT(ISNUMBER(H381))),"",ROUND(H381-C381,2))</f>
        <v/>
      </c>
      <c r="H381" s="24"/>
      <c r="I381" s="25" t="str">
        <f aca="false">IF(C381="","",IF(ISNUMBER(G381),IF(G381&lt;-E381,"Actual – Loss (limit breached)",IF(G381&lt;0,"Actual – Loss",IF(G381&gt;0,"Actual – Profit","Actual – No trade"))),"Projection"))</f>
        <v/>
      </c>
      <c r="J381" s="26"/>
      <c r="K381" s="27"/>
    </row>
    <row r="382" customFormat="false" ht="15" hidden="false" customHeight="false" outlineLevel="0" collapsed="false">
      <c r="A382" s="20" t="str">
        <f aca="false">IF(C382="","",ROW()-12)</f>
        <v/>
      </c>
      <c r="B382" s="21" t="str">
        <f aca="false">IF(C382="","",WORKDAY($C$5-1,A382,'NSE Holidays'!$A$5:$A$64))</f>
        <v/>
      </c>
      <c r="C382" s="22" t="str">
        <f aca="false">IF(C381="","",IF(OR(IF(ISNUMBER(G381),H381,F381)&gt;=$C$7,IF(ISNUMBER(G381),H381,F381)&lt;=0),"",IF(ISNUMBER(G381),H381,F381)))</f>
        <v/>
      </c>
      <c r="D382" s="22" t="str">
        <f aca="false">IF(C382="","",ROUND(C382*$C$8,2))</f>
        <v/>
      </c>
      <c r="E382" s="22" t="str">
        <f aca="false">IF(C382="","",ROUND(C382*$C$9,2))</f>
        <v/>
      </c>
      <c r="F382" s="22" t="str">
        <f aca="false">IF(C382="","",C382+D382)</f>
        <v/>
      </c>
      <c r="G382" s="23" t="str">
        <f aca="false">IF(OR(C382="",NOT(ISNUMBER(H382))),"",ROUND(H382-C382,2))</f>
        <v/>
      </c>
      <c r="H382" s="24"/>
      <c r="I382" s="25" t="str">
        <f aca="false">IF(C382="","",IF(ISNUMBER(G382),IF(G382&lt;-E382,"Actual – Loss (limit breached)",IF(G382&lt;0,"Actual – Loss",IF(G382&gt;0,"Actual – Profit","Actual – No trade"))),"Projection"))</f>
        <v/>
      </c>
      <c r="J382" s="26"/>
      <c r="K382" s="27"/>
    </row>
    <row r="383" customFormat="false" ht="15" hidden="false" customHeight="false" outlineLevel="0" collapsed="false">
      <c r="A383" s="20" t="str">
        <f aca="false">IF(C383="","",ROW()-12)</f>
        <v/>
      </c>
      <c r="B383" s="21" t="str">
        <f aca="false">IF(C383="","",WORKDAY($C$5-1,A383,'NSE Holidays'!$A$5:$A$64))</f>
        <v/>
      </c>
      <c r="C383" s="22" t="str">
        <f aca="false">IF(C382="","",IF(OR(IF(ISNUMBER(G382),H382,F382)&gt;=$C$7,IF(ISNUMBER(G382),H382,F382)&lt;=0),"",IF(ISNUMBER(G382),H382,F382)))</f>
        <v/>
      </c>
      <c r="D383" s="22" t="str">
        <f aca="false">IF(C383="","",ROUND(C383*$C$8,2))</f>
        <v/>
      </c>
      <c r="E383" s="22" t="str">
        <f aca="false">IF(C383="","",ROUND(C383*$C$9,2))</f>
        <v/>
      </c>
      <c r="F383" s="22" t="str">
        <f aca="false">IF(C383="","",C383+D383)</f>
        <v/>
      </c>
      <c r="G383" s="23" t="str">
        <f aca="false">IF(OR(C383="",NOT(ISNUMBER(H383))),"",ROUND(H383-C383,2))</f>
        <v/>
      </c>
      <c r="H383" s="24"/>
      <c r="I383" s="25" t="str">
        <f aca="false">IF(C383="","",IF(ISNUMBER(G383),IF(G383&lt;-E383,"Actual – Loss (limit breached)",IF(G383&lt;0,"Actual – Loss",IF(G383&gt;0,"Actual – Profit","Actual – No trade"))),"Projection"))</f>
        <v/>
      </c>
      <c r="J383" s="26"/>
      <c r="K383" s="27"/>
    </row>
    <row r="384" customFormat="false" ht="15" hidden="false" customHeight="false" outlineLevel="0" collapsed="false">
      <c r="A384" s="20" t="str">
        <f aca="false">IF(C384="","",ROW()-12)</f>
        <v/>
      </c>
      <c r="B384" s="21" t="str">
        <f aca="false">IF(C384="","",WORKDAY($C$5-1,A384,'NSE Holidays'!$A$5:$A$64))</f>
        <v/>
      </c>
      <c r="C384" s="22" t="str">
        <f aca="false">IF(C383="","",IF(OR(IF(ISNUMBER(G383),H383,F383)&gt;=$C$7,IF(ISNUMBER(G383),H383,F383)&lt;=0),"",IF(ISNUMBER(G383),H383,F383)))</f>
        <v/>
      </c>
      <c r="D384" s="22" t="str">
        <f aca="false">IF(C384="","",ROUND(C384*$C$8,2))</f>
        <v/>
      </c>
      <c r="E384" s="22" t="str">
        <f aca="false">IF(C384="","",ROUND(C384*$C$9,2))</f>
        <v/>
      </c>
      <c r="F384" s="22" t="str">
        <f aca="false">IF(C384="","",C384+D384)</f>
        <v/>
      </c>
      <c r="G384" s="23" t="str">
        <f aca="false">IF(OR(C384="",NOT(ISNUMBER(H384))),"",ROUND(H384-C384,2))</f>
        <v/>
      </c>
      <c r="H384" s="24"/>
      <c r="I384" s="25" t="str">
        <f aca="false">IF(C384="","",IF(ISNUMBER(G384),IF(G384&lt;-E384,"Actual – Loss (limit breached)",IF(G384&lt;0,"Actual – Loss",IF(G384&gt;0,"Actual – Profit","Actual – No trade"))),"Projection"))</f>
        <v/>
      </c>
      <c r="J384" s="26"/>
      <c r="K384" s="27"/>
    </row>
    <row r="385" customFormat="false" ht="15" hidden="false" customHeight="false" outlineLevel="0" collapsed="false">
      <c r="A385" s="20" t="str">
        <f aca="false">IF(C385="","",ROW()-12)</f>
        <v/>
      </c>
      <c r="B385" s="21" t="str">
        <f aca="false">IF(C385="","",WORKDAY($C$5-1,A385,'NSE Holidays'!$A$5:$A$64))</f>
        <v/>
      </c>
      <c r="C385" s="22" t="str">
        <f aca="false">IF(C384="","",IF(OR(IF(ISNUMBER(G384),H384,F384)&gt;=$C$7,IF(ISNUMBER(G384),H384,F384)&lt;=0),"",IF(ISNUMBER(G384),H384,F384)))</f>
        <v/>
      </c>
      <c r="D385" s="22" t="str">
        <f aca="false">IF(C385="","",ROUND(C385*$C$8,2))</f>
        <v/>
      </c>
      <c r="E385" s="22" t="str">
        <f aca="false">IF(C385="","",ROUND(C385*$C$9,2))</f>
        <v/>
      </c>
      <c r="F385" s="22" t="str">
        <f aca="false">IF(C385="","",C385+D385)</f>
        <v/>
      </c>
      <c r="G385" s="23" t="str">
        <f aca="false">IF(OR(C385="",NOT(ISNUMBER(H385))),"",ROUND(H385-C385,2))</f>
        <v/>
      </c>
      <c r="H385" s="24"/>
      <c r="I385" s="25" t="str">
        <f aca="false">IF(C385="","",IF(ISNUMBER(G385),IF(G385&lt;-E385,"Actual – Loss (limit breached)",IF(G385&lt;0,"Actual – Loss",IF(G385&gt;0,"Actual – Profit","Actual – No trade"))),"Projection"))</f>
        <v/>
      </c>
      <c r="J385" s="26"/>
      <c r="K385" s="27"/>
    </row>
    <row r="386" customFormat="false" ht="15" hidden="false" customHeight="false" outlineLevel="0" collapsed="false">
      <c r="A386" s="20" t="str">
        <f aca="false">IF(C386="","",ROW()-12)</f>
        <v/>
      </c>
      <c r="B386" s="21" t="str">
        <f aca="false">IF(C386="","",WORKDAY($C$5-1,A386,'NSE Holidays'!$A$5:$A$64))</f>
        <v/>
      </c>
      <c r="C386" s="22" t="str">
        <f aca="false">IF(C385="","",IF(OR(IF(ISNUMBER(G385),H385,F385)&gt;=$C$7,IF(ISNUMBER(G385),H385,F385)&lt;=0),"",IF(ISNUMBER(G385),H385,F385)))</f>
        <v/>
      </c>
      <c r="D386" s="22" t="str">
        <f aca="false">IF(C386="","",ROUND(C386*$C$8,2))</f>
        <v/>
      </c>
      <c r="E386" s="22" t="str">
        <f aca="false">IF(C386="","",ROUND(C386*$C$9,2))</f>
        <v/>
      </c>
      <c r="F386" s="22" t="str">
        <f aca="false">IF(C386="","",C386+D386)</f>
        <v/>
      </c>
      <c r="G386" s="23" t="str">
        <f aca="false">IF(OR(C386="",NOT(ISNUMBER(H386))),"",ROUND(H386-C386,2))</f>
        <v/>
      </c>
      <c r="H386" s="24"/>
      <c r="I386" s="25" t="str">
        <f aca="false">IF(C386="","",IF(ISNUMBER(G386),IF(G386&lt;-E386,"Actual – Loss (limit breached)",IF(G386&lt;0,"Actual – Loss",IF(G386&gt;0,"Actual – Profit","Actual – No trade"))),"Projection"))</f>
        <v/>
      </c>
      <c r="J386" s="26"/>
      <c r="K386" s="27"/>
    </row>
    <row r="387" customFormat="false" ht="15" hidden="false" customHeight="false" outlineLevel="0" collapsed="false">
      <c r="A387" s="20" t="str">
        <f aca="false">IF(C387="","",ROW()-12)</f>
        <v/>
      </c>
      <c r="B387" s="21" t="str">
        <f aca="false">IF(C387="","",WORKDAY($C$5-1,A387,'NSE Holidays'!$A$5:$A$64))</f>
        <v/>
      </c>
      <c r="C387" s="22" t="str">
        <f aca="false">IF(C386="","",IF(OR(IF(ISNUMBER(G386),H386,F386)&gt;=$C$7,IF(ISNUMBER(G386),H386,F386)&lt;=0),"",IF(ISNUMBER(G386),H386,F386)))</f>
        <v/>
      </c>
      <c r="D387" s="22" t="str">
        <f aca="false">IF(C387="","",ROUND(C387*$C$8,2))</f>
        <v/>
      </c>
      <c r="E387" s="22" t="str">
        <f aca="false">IF(C387="","",ROUND(C387*$C$9,2))</f>
        <v/>
      </c>
      <c r="F387" s="22" t="str">
        <f aca="false">IF(C387="","",C387+D387)</f>
        <v/>
      </c>
      <c r="G387" s="23" t="str">
        <f aca="false">IF(OR(C387="",NOT(ISNUMBER(H387))),"",ROUND(H387-C387,2))</f>
        <v/>
      </c>
      <c r="H387" s="24"/>
      <c r="I387" s="25" t="str">
        <f aca="false">IF(C387="","",IF(ISNUMBER(G387),IF(G387&lt;-E387,"Actual – Loss (limit breached)",IF(G387&lt;0,"Actual – Loss",IF(G387&gt;0,"Actual – Profit","Actual – No trade"))),"Projection"))</f>
        <v/>
      </c>
      <c r="J387" s="26"/>
      <c r="K387" s="27"/>
    </row>
    <row r="388" customFormat="false" ht="15" hidden="false" customHeight="false" outlineLevel="0" collapsed="false">
      <c r="A388" s="20" t="str">
        <f aca="false">IF(C388="","",ROW()-12)</f>
        <v/>
      </c>
      <c r="B388" s="21" t="str">
        <f aca="false">IF(C388="","",WORKDAY($C$5-1,A388,'NSE Holidays'!$A$5:$A$64))</f>
        <v/>
      </c>
      <c r="C388" s="22" t="str">
        <f aca="false">IF(C387="","",IF(OR(IF(ISNUMBER(G387),H387,F387)&gt;=$C$7,IF(ISNUMBER(G387),H387,F387)&lt;=0),"",IF(ISNUMBER(G387),H387,F387)))</f>
        <v/>
      </c>
      <c r="D388" s="22" t="str">
        <f aca="false">IF(C388="","",ROUND(C388*$C$8,2))</f>
        <v/>
      </c>
      <c r="E388" s="22" t="str">
        <f aca="false">IF(C388="","",ROUND(C388*$C$9,2))</f>
        <v/>
      </c>
      <c r="F388" s="22" t="str">
        <f aca="false">IF(C388="","",C388+D388)</f>
        <v/>
      </c>
      <c r="G388" s="23" t="str">
        <f aca="false">IF(OR(C388="",NOT(ISNUMBER(H388))),"",ROUND(H388-C388,2))</f>
        <v/>
      </c>
      <c r="H388" s="24"/>
      <c r="I388" s="25" t="str">
        <f aca="false">IF(C388="","",IF(ISNUMBER(G388),IF(G388&lt;-E388,"Actual – Loss (limit breached)",IF(G388&lt;0,"Actual – Loss",IF(G388&gt;0,"Actual – Profit","Actual – No trade"))),"Projection"))</f>
        <v/>
      </c>
      <c r="J388" s="26"/>
      <c r="K388" s="27"/>
    </row>
    <row r="389" customFormat="false" ht="15" hidden="false" customHeight="false" outlineLevel="0" collapsed="false">
      <c r="A389" s="20" t="str">
        <f aca="false">IF(C389="","",ROW()-12)</f>
        <v/>
      </c>
      <c r="B389" s="21" t="str">
        <f aca="false">IF(C389="","",WORKDAY($C$5-1,A389,'NSE Holidays'!$A$5:$A$64))</f>
        <v/>
      </c>
      <c r="C389" s="22" t="str">
        <f aca="false">IF(C388="","",IF(OR(IF(ISNUMBER(G388),H388,F388)&gt;=$C$7,IF(ISNUMBER(G388),H388,F388)&lt;=0),"",IF(ISNUMBER(G388),H388,F388)))</f>
        <v/>
      </c>
      <c r="D389" s="22" t="str">
        <f aca="false">IF(C389="","",ROUND(C389*$C$8,2))</f>
        <v/>
      </c>
      <c r="E389" s="22" t="str">
        <f aca="false">IF(C389="","",ROUND(C389*$C$9,2))</f>
        <v/>
      </c>
      <c r="F389" s="22" t="str">
        <f aca="false">IF(C389="","",C389+D389)</f>
        <v/>
      </c>
      <c r="G389" s="23" t="str">
        <f aca="false">IF(OR(C389="",NOT(ISNUMBER(H389))),"",ROUND(H389-C389,2))</f>
        <v/>
      </c>
      <c r="H389" s="24"/>
      <c r="I389" s="25" t="str">
        <f aca="false">IF(C389="","",IF(ISNUMBER(G389),IF(G389&lt;-E389,"Actual – Loss (limit breached)",IF(G389&lt;0,"Actual – Loss",IF(G389&gt;0,"Actual – Profit","Actual – No trade"))),"Projection"))</f>
        <v/>
      </c>
      <c r="J389" s="26"/>
      <c r="K389" s="27"/>
    </row>
    <row r="390" customFormat="false" ht="15" hidden="false" customHeight="false" outlineLevel="0" collapsed="false">
      <c r="A390" s="20" t="str">
        <f aca="false">IF(C390="","",ROW()-12)</f>
        <v/>
      </c>
      <c r="B390" s="21" t="str">
        <f aca="false">IF(C390="","",WORKDAY($C$5-1,A390,'NSE Holidays'!$A$5:$A$64))</f>
        <v/>
      </c>
      <c r="C390" s="22" t="str">
        <f aca="false">IF(C389="","",IF(OR(IF(ISNUMBER(G389),H389,F389)&gt;=$C$7,IF(ISNUMBER(G389),H389,F389)&lt;=0),"",IF(ISNUMBER(G389),H389,F389)))</f>
        <v/>
      </c>
      <c r="D390" s="22" t="str">
        <f aca="false">IF(C390="","",ROUND(C390*$C$8,2))</f>
        <v/>
      </c>
      <c r="E390" s="22" t="str">
        <f aca="false">IF(C390="","",ROUND(C390*$C$9,2))</f>
        <v/>
      </c>
      <c r="F390" s="22" t="str">
        <f aca="false">IF(C390="","",C390+D390)</f>
        <v/>
      </c>
      <c r="G390" s="23" t="str">
        <f aca="false">IF(OR(C390="",NOT(ISNUMBER(H390))),"",ROUND(H390-C390,2))</f>
        <v/>
      </c>
      <c r="H390" s="24"/>
      <c r="I390" s="25" t="str">
        <f aca="false">IF(C390="","",IF(ISNUMBER(G390),IF(G390&lt;-E390,"Actual – Loss (limit breached)",IF(G390&lt;0,"Actual – Loss",IF(G390&gt;0,"Actual – Profit","Actual – No trade"))),"Projection"))</f>
        <v/>
      </c>
      <c r="J390" s="26"/>
      <c r="K390" s="27"/>
    </row>
    <row r="391" customFormat="false" ht="15" hidden="false" customHeight="false" outlineLevel="0" collapsed="false">
      <c r="A391" s="20" t="str">
        <f aca="false">IF(C391="","",ROW()-12)</f>
        <v/>
      </c>
      <c r="B391" s="21" t="str">
        <f aca="false">IF(C391="","",WORKDAY($C$5-1,A391,'NSE Holidays'!$A$5:$A$64))</f>
        <v/>
      </c>
      <c r="C391" s="22" t="str">
        <f aca="false">IF(C390="","",IF(OR(IF(ISNUMBER(G390),H390,F390)&gt;=$C$7,IF(ISNUMBER(G390),H390,F390)&lt;=0),"",IF(ISNUMBER(G390),H390,F390)))</f>
        <v/>
      </c>
      <c r="D391" s="22" t="str">
        <f aca="false">IF(C391="","",ROUND(C391*$C$8,2))</f>
        <v/>
      </c>
      <c r="E391" s="22" t="str">
        <f aca="false">IF(C391="","",ROUND(C391*$C$9,2))</f>
        <v/>
      </c>
      <c r="F391" s="22" t="str">
        <f aca="false">IF(C391="","",C391+D391)</f>
        <v/>
      </c>
      <c r="G391" s="23" t="str">
        <f aca="false">IF(OR(C391="",NOT(ISNUMBER(H391))),"",ROUND(H391-C391,2))</f>
        <v/>
      </c>
      <c r="H391" s="24"/>
      <c r="I391" s="25" t="str">
        <f aca="false">IF(C391="","",IF(ISNUMBER(G391),IF(G391&lt;-E391,"Actual – Loss (limit breached)",IF(G391&lt;0,"Actual – Loss",IF(G391&gt;0,"Actual – Profit","Actual – No trade"))),"Projection"))</f>
        <v/>
      </c>
      <c r="J391" s="26"/>
      <c r="K391" s="27"/>
    </row>
    <row r="392" customFormat="false" ht="15" hidden="false" customHeight="false" outlineLevel="0" collapsed="false">
      <c r="A392" s="20" t="str">
        <f aca="false">IF(C392="","",ROW()-12)</f>
        <v/>
      </c>
      <c r="B392" s="21" t="str">
        <f aca="false">IF(C392="","",WORKDAY($C$5-1,A392,'NSE Holidays'!$A$5:$A$64))</f>
        <v/>
      </c>
      <c r="C392" s="22" t="str">
        <f aca="false">IF(C391="","",IF(OR(IF(ISNUMBER(G391),H391,F391)&gt;=$C$7,IF(ISNUMBER(G391),H391,F391)&lt;=0),"",IF(ISNUMBER(G391),H391,F391)))</f>
        <v/>
      </c>
      <c r="D392" s="22" t="str">
        <f aca="false">IF(C392="","",ROUND(C392*$C$8,2))</f>
        <v/>
      </c>
      <c r="E392" s="22" t="str">
        <f aca="false">IF(C392="","",ROUND(C392*$C$9,2))</f>
        <v/>
      </c>
      <c r="F392" s="22" t="str">
        <f aca="false">IF(C392="","",C392+D392)</f>
        <v/>
      </c>
      <c r="G392" s="23" t="str">
        <f aca="false">IF(OR(C392="",NOT(ISNUMBER(H392))),"",ROUND(H392-C392,2))</f>
        <v/>
      </c>
      <c r="H392" s="24"/>
      <c r="I392" s="25" t="str">
        <f aca="false">IF(C392="","",IF(ISNUMBER(G392),IF(G392&lt;-E392,"Actual – Loss (limit breached)",IF(G392&lt;0,"Actual – Loss",IF(G392&gt;0,"Actual – Profit","Actual – No trade"))),"Projection"))</f>
        <v/>
      </c>
      <c r="J392" s="26"/>
      <c r="K392" s="27"/>
    </row>
    <row r="393" customFormat="false" ht="15" hidden="false" customHeight="false" outlineLevel="0" collapsed="false">
      <c r="A393" s="20" t="str">
        <f aca="false">IF(C393="","",ROW()-12)</f>
        <v/>
      </c>
      <c r="B393" s="21" t="str">
        <f aca="false">IF(C393="","",WORKDAY($C$5-1,A393,'NSE Holidays'!$A$5:$A$64))</f>
        <v/>
      </c>
      <c r="C393" s="22" t="str">
        <f aca="false">IF(C392="","",IF(OR(IF(ISNUMBER(G392),H392,F392)&gt;=$C$7,IF(ISNUMBER(G392),H392,F392)&lt;=0),"",IF(ISNUMBER(G392),H392,F392)))</f>
        <v/>
      </c>
      <c r="D393" s="22" t="str">
        <f aca="false">IF(C393="","",ROUND(C393*$C$8,2))</f>
        <v/>
      </c>
      <c r="E393" s="22" t="str">
        <f aca="false">IF(C393="","",ROUND(C393*$C$9,2))</f>
        <v/>
      </c>
      <c r="F393" s="22" t="str">
        <f aca="false">IF(C393="","",C393+D393)</f>
        <v/>
      </c>
      <c r="G393" s="23" t="str">
        <f aca="false">IF(OR(C393="",NOT(ISNUMBER(H393))),"",ROUND(H393-C393,2))</f>
        <v/>
      </c>
      <c r="H393" s="24"/>
      <c r="I393" s="25" t="str">
        <f aca="false">IF(C393="","",IF(ISNUMBER(G393),IF(G393&lt;-E393,"Actual – Loss (limit breached)",IF(G393&lt;0,"Actual – Loss",IF(G393&gt;0,"Actual – Profit","Actual – No trade"))),"Projection"))</f>
        <v/>
      </c>
      <c r="J393" s="26"/>
      <c r="K393" s="27"/>
    </row>
    <row r="394" customFormat="false" ht="15" hidden="false" customHeight="false" outlineLevel="0" collapsed="false">
      <c r="A394" s="20" t="str">
        <f aca="false">IF(C394="","",ROW()-12)</f>
        <v/>
      </c>
      <c r="B394" s="21" t="str">
        <f aca="false">IF(C394="","",WORKDAY($C$5-1,A394,'NSE Holidays'!$A$5:$A$64))</f>
        <v/>
      </c>
      <c r="C394" s="22" t="str">
        <f aca="false">IF(C393="","",IF(OR(IF(ISNUMBER(G393),H393,F393)&gt;=$C$7,IF(ISNUMBER(G393),H393,F393)&lt;=0),"",IF(ISNUMBER(G393),H393,F393)))</f>
        <v/>
      </c>
      <c r="D394" s="22" t="str">
        <f aca="false">IF(C394="","",ROUND(C394*$C$8,2))</f>
        <v/>
      </c>
      <c r="E394" s="22" t="str">
        <f aca="false">IF(C394="","",ROUND(C394*$C$9,2))</f>
        <v/>
      </c>
      <c r="F394" s="22" t="str">
        <f aca="false">IF(C394="","",C394+D394)</f>
        <v/>
      </c>
      <c r="G394" s="23" t="str">
        <f aca="false">IF(OR(C394="",NOT(ISNUMBER(H394))),"",ROUND(H394-C394,2))</f>
        <v/>
      </c>
      <c r="H394" s="24"/>
      <c r="I394" s="25" t="str">
        <f aca="false">IF(C394="","",IF(ISNUMBER(G394),IF(G394&lt;-E394,"Actual – Loss (limit breached)",IF(G394&lt;0,"Actual – Loss",IF(G394&gt;0,"Actual – Profit","Actual – No trade"))),"Projection"))</f>
        <v/>
      </c>
      <c r="J394" s="26"/>
      <c r="K394" s="27"/>
    </row>
    <row r="395" customFormat="false" ht="15" hidden="false" customHeight="false" outlineLevel="0" collapsed="false">
      <c r="A395" s="20" t="str">
        <f aca="false">IF(C395="","",ROW()-12)</f>
        <v/>
      </c>
      <c r="B395" s="21" t="str">
        <f aca="false">IF(C395="","",WORKDAY($C$5-1,A395,'NSE Holidays'!$A$5:$A$64))</f>
        <v/>
      </c>
      <c r="C395" s="22" t="str">
        <f aca="false">IF(C394="","",IF(OR(IF(ISNUMBER(G394),H394,F394)&gt;=$C$7,IF(ISNUMBER(G394),H394,F394)&lt;=0),"",IF(ISNUMBER(G394),H394,F394)))</f>
        <v/>
      </c>
      <c r="D395" s="22" t="str">
        <f aca="false">IF(C395="","",ROUND(C395*$C$8,2))</f>
        <v/>
      </c>
      <c r="E395" s="22" t="str">
        <f aca="false">IF(C395="","",ROUND(C395*$C$9,2))</f>
        <v/>
      </c>
      <c r="F395" s="22" t="str">
        <f aca="false">IF(C395="","",C395+D395)</f>
        <v/>
      </c>
      <c r="G395" s="23" t="str">
        <f aca="false">IF(OR(C395="",NOT(ISNUMBER(H395))),"",ROUND(H395-C395,2))</f>
        <v/>
      </c>
      <c r="H395" s="24"/>
      <c r="I395" s="25" t="str">
        <f aca="false">IF(C395="","",IF(ISNUMBER(G395),IF(G395&lt;-E395,"Actual – Loss (limit breached)",IF(G395&lt;0,"Actual – Loss",IF(G395&gt;0,"Actual – Profit","Actual – No trade"))),"Projection"))</f>
        <v/>
      </c>
      <c r="J395" s="26"/>
      <c r="K395" s="27"/>
    </row>
    <row r="396" customFormat="false" ht="15" hidden="false" customHeight="false" outlineLevel="0" collapsed="false">
      <c r="A396" s="20" t="str">
        <f aca="false">IF(C396="","",ROW()-12)</f>
        <v/>
      </c>
      <c r="B396" s="21" t="str">
        <f aca="false">IF(C396="","",WORKDAY($C$5-1,A396,'NSE Holidays'!$A$5:$A$64))</f>
        <v/>
      </c>
      <c r="C396" s="22" t="str">
        <f aca="false">IF(C395="","",IF(OR(IF(ISNUMBER(G395),H395,F395)&gt;=$C$7,IF(ISNUMBER(G395),H395,F395)&lt;=0),"",IF(ISNUMBER(G395),H395,F395)))</f>
        <v/>
      </c>
      <c r="D396" s="22" t="str">
        <f aca="false">IF(C396="","",ROUND(C396*$C$8,2))</f>
        <v/>
      </c>
      <c r="E396" s="22" t="str">
        <f aca="false">IF(C396="","",ROUND(C396*$C$9,2))</f>
        <v/>
      </c>
      <c r="F396" s="22" t="str">
        <f aca="false">IF(C396="","",C396+D396)</f>
        <v/>
      </c>
      <c r="G396" s="23" t="str">
        <f aca="false">IF(OR(C396="",NOT(ISNUMBER(H396))),"",ROUND(H396-C396,2))</f>
        <v/>
      </c>
      <c r="H396" s="24"/>
      <c r="I396" s="25" t="str">
        <f aca="false">IF(C396="","",IF(ISNUMBER(G396),IF(G396&lt;-E396,"Actual – Loss (limit breached)",IF(G396&lt;0,"Actual – Loss",IF(G396&gt;0,"Actual – Profit","Actual – No trade"))),"Projection"))</f>
        <v/>
      </c>
      <c r="J396" s="26"/>
      <c r="K396" s="27"/>
    </row>
    <row r="397" customFormat="false" ht="15" hidden="false" customHeight="false" outlineLevel="0" collapsed="false">
      <c r="A397" s="20" t="str">
        <f aca="false">IF(C397="","",ROW()-12)</f>
        <v/>
      </c>
      <c r="B397" s="21" t="str">
        <f aca="false">IF(C397="","",WORKDAY($C$5-1,A397,'NSE Holidays'!$A$5:$A$64))</f>
        <v/>
      </c>
      <c r="C397" s="22" t="str">
        <f aca="false">IF(C396="","",IF(OR(IF(ISNUMBER(G396),H396,F396)&gt;=$C$7,IF(ISNUMBER(G396),H396,F396)&lt;=0),"",IF(ISNUMBER(G396),H396,F396)))</f>
        <v/>
      </c>
      <c r="D397" s="22" t="str">
        <f aca="false">IF(C397="","",ROUND(C397*$C$8,2))</f>
        <v/>
      </c>
      <c r="E397" s="22" t="str">
        <f aca="false">IF(C397="","",ROUND(C397*$C$9,2))</f>
        <v/>
      </c>
      <c r="F397" s="22" t="str">
        <f aca="false">IF(C397="","",C397+D397)</f>
        <v/>
      </c>
      <c r="G397" s="23" t="str">
        <f aca="false">IF(OR(C397="",NOT(ISNUMBER(H397))),"",ROUND(H397-C397,2))</f>
        <v/>
      </c>
      <c r="H397" s="24"/>
      <c r="I397" s="25" t="str">
        <f aca="false">IF(C397="","",IF(ISNUMBER(G397),IF(G397&lt;-E397,"Actual – Loss (limit breached)",IF(G397&lt;0,"Actual – Loss",IF(G397&gt;0,"Actual – Profit","Actual – No trade"))),"Projection"))</f>
        <v/>
      </c>
      <c r="J397" s="26"/>
      <c r="K397" s="27"/>
    </row>
    <row r="398" customFormat="false" ht="15" hidden="false" customHeight="false" outlineLevel="0" collapsed="false">
      <c r="A398" s="20" t="str">
        <f aca="false">IF(C398="","",ROW()-12)</f>
        <v/>
      </c>
      <c r="B398" s="21" t="str">
        <f aca="false">IF(C398="","",WORKDAY($C$5-1,A398,'NSE Holidays'!$A$5:$A$64))</f>
        <v/>
      </c>
      <c r="C398" s="22" t="str">
        <f aca="false">IF(C397="","",IF(OR(IF(ISNUMBER(G397),H397,F397)&gt;=$C$7,IF(ISNUMBER(G397),H397,F397)&lt;=0),"",IF(ISNUMBER(G397),H397,F397)))</f>
        <v/>
      </c>
      <c r="D398" s="22" t="str">
        <f aca="false">IF(C398="","",ROUND(C398*$C$8,2))</f>
        <v/>
      </c>
      <c r="E398" s="22" t="str">
        <f aca="false">IF(C398="","",ROUND(C398*$C$9,2))</f>
        <v/>
      </c>
      <c r="F398" s="22" t="str">
        <f aca="false">IF(C398="","",C398+D398)</f>
        <v/>
      </c>
      <c r="G398" s="23" t="str">
        <f aca="false">IF(OR(C398="",NOT(ISNUMBER(H398))),"",ROUND(H398-C398,2))</f>
        <v/>
      </c>
      <c r="H398" s="24"/>
      <c r="I398" s="25" t="str">
        <f aca="false">IF(C398="","",IF(ISNUMBER(G398),IF(G398&lt;-E398,"Actual – Loss (limit breached)",IF(G398&lt;0,"Actual – Loss",IF(G398&gt;0,"Actual – Profit","Actual – No trade"))),"Projection"))</f>
        <v/>
      </c>
      <c r="J398" s="26"/>
      <c r="K398" s="27"/>
    </row>
    <row r="399" customFormat="false" ht="15" hidden="false" customHeight="false" outlineLevel="0" collapsed="false">
      <c r="A399" s="20" t="str">
        <f aca="false">IF(C399="","",ROW()-12)</f>
        <v/>
      </c>
      <c r="B399" s="21" t="str">
        <f aca="false">IF(C399="","",WORKDAY($C$5-1,A399,'NSE Holidays'!$A$5:$A$64))</f>
        <v/>
      </c>
      <c r="C399" s="22" t="str">
        <f aca="false">IF(C398="","",IF(OR(IF(ISNUMBER(G398),H398,F398)&gt;=$C$7,IF(ISNUMBER(G398),H398,F398)&lt;=0),"",IF(ISNUMBER(G398),H398,F398)))</f>
        <v/>
      </c>
      <c r="D399" s="22" t="str">
        <f aca="false">IF(C399="","",ROUND(C399*$C$8,2))</f>
        <v/>
      </c>
      <c r="E399" s="22" t="str">
        <f aca="false">IF(C399="","",ROUND(C399*$C$9,2))</f>
        <v/>
      </c>
      <c r="F399" s="22" t="str">
        <f aca="false">IF(C399="","",C399+D399)</f>
        <v/>
      </c>
      <c r="G399" s="23" t="str">
        <f aca="false">IF(OR(C399="",NOT(ISNUMBER(H399))),"",ROUND(H399-C399,2))</f>
        <v/>
      </c>
      <c r="H399" s="24"/>
      <c r="I399" s="25" t="str">
        <f aca="false">IF(C399="","",IF(ISNUMBER(G399),IF(G399&lt;-E399,"Actual – Loss (limit breached)",IF(G399&lt;0,"Actual – Loss",IF(G399&gt;0,"Actual – Profit","Actual – No trade"))),"Projection"))</f>
        <v/>
      </c>
      <c r="J399" s="26"/>
      <c r="K399" s="27"/>
    </row>
    <row r="400" customFormat="false" ht="15" hidden="false" customHeight="false" outlineLevel="0" collapsed="false">
      <c r="A400" s="20" t="str">
        <f aca="false">IF(C400="","",ROW()-12)</f>
        <v/>
      </c>
      <c r="B400" s="21" t="str">
        <f aca="false">IF(C400="","",WORKDAY($C$5-1,A400,'NSE Holidays'!$A$5:$A$64))</f>
        <v/>
      </c>
      <c r="C400" s="22" t="str">
        <f aca="false">IF(C399="","",IF(OR(IF(ISNUMBER(G399),H399,F399)&gt;=$C$7,IF(ISNUMBER(G399),H399,F399)&lt;=0),"",IF(ISNUMBER(G399),H399,F399)))</f>
        <v/>
      </c>
      <c r="D400" s="22" t="str">
        <f aca="false">IF(C400="","",ROUND(C400*$C$8,2))</f>
        <v/>
      </c>
      <c r="E400" s="22" t="str">
        <f aca="false">IF(C400="","",ROUND(C400*$C$9,2))</f>
        <v/>
      </c>
      <c r="F400" s="22" t="str">
        <f aca="false">IF(C400="","",C400+D400)</f>
        <v/>
      </c>
      <c r="G400" s="23" t="str">
        <f aca="false">IF(OR(C400="",NOT(ISNUMBER(H400))),"",ROUND(H400-C400,2))</f>
        <v/>
      </c>
      <c r="H400" s="24"/>
      <c r="I400" s="25" t="str">
        <f aca="false">IF(C400="","",IF(ISNUMBER(G400),IF(G400&lt;-E400,"Actual – Loss (limit breached)",IF(G400&lt;0,"Actual – Loss",IF(G400&gt;0,"Actual – Profit","Actual – No trade"))),"Projection"))</f>
        <v/>
      </c>
      <c r="J400" s="26"/>
      <c r="K400" s="27"/>
    </row>
    <row r="401" customFormat="false" ht="15" hidden="false" customHeight="false" outlineLevel="0" collapsed="false">
      <c r="A401" s="20" t="str">
        <f aca="false">IF(C401="","",ROW()-12)</f>
        <v/>
      </c>
      <c r="B401" s="21" t="str">
        <f aca="false">IF(C401="","",WORKDAY($C$5-1,A401,'NSE Holidays'!$A$5:$A$64))</f>
        <v/>
      </c>
      <c r="C401" s="22" t="str">
        <f aca="false">IF(C400="","",IF(OR(IF(ISNUMBER(G400),H400,F400)&gt;=$C$7,IF(ISNUMBER(G400),H400,F400)&lt;=0),"",IF(ISNUMBER(G400),H400,F400)))</f>
        <v/>
      </c>
      <c r="D401" s="22" t="str">
        <f aca="false">IF(C401="","",ROUND(C401*$C$8,2))</f>
        <v/>
      </c>
      <c r="E401" s="22" t="str">
        <f aca="false">IF(C401="","",ROUND(C401*$C$9,2))</f>
        <v/>
      </c>
      <c r="F401" s="22" t="str">
        <f aca="false">IF(C401="","",C401+D401)</f>
        <v/>
      </c>
      <c r="G401" s="23" t="str">
        <f aca="false">IF(OR(C401="",NOT(ISNUMBER(H401))),"",ROUND(H401-C401,2))</f>
        <v/>
      </c>
      <c r="H401" s="24"/>
      <c r="I401" s="25" t="str">
        <f aca="false">IF(C401="","",IF(ISNUMBER(G401),IF(G401&lt;-E401,"Actual – Loss (limit breached)",IF(G401&lt;0,"Actual – Loss",IF(G401&gt;0,"Actual – Profit","Actual – No trade"))),"Projection"))</f>
        <v/>
      </c>
      <c r="J401" s="26"/>
      <c r="K401" s="27"/>
    </row>
    <row r="402" customFormat="false" ht="15" hidden="false" customHeight="false" outlineLevel="0" collapsed="false">
      <c r="A402" s="20" t="str">
        <f aca="false">IF(C402="","",ROW()-12)</f>
        <v/>
      </c>
      <c r="B402" s="21" t="str">
        <f aca="false">IF(C402="","",WORKDAY($C$5-1,A402,'NSE Holidays'!$A$5:$A$64))</f>
        <v/>
      </c>
      <c r="C402" s="22" t="str">
        <f aca="false">IF(C401="","",IF(OR(IF(ISNUMBER(G401),H401,F401)&gt;=$C$7,IF(ISNUMBER(G401),H401,F401)&lt;=0),"",IF(ISNUMBER(G401),H401,F401)))</f>
        <v/>
      </c>
      <c r="D402" s="22" t="str">
        <f aca="false">IF(C402="","",ROUND(C402*$C$8,2))</f>
        <v/>
      </c>
      <c r="E402" s="22" t="str">
        <f aca="false">IF(C402="","",ROUND(C402*$C$9,2))</f>
        <v/>
      </c>
      <c r="F402" s="22" t="str">
        <f aca="false">IF(C402="","",C402+D402)</f>
        <v/>
      </c>
      <c r="G402" s="23" t="str">
        <f aca="false">IF(OR(C402="",NOT(ISNUMBER(H402))),"",ROUND(H402-C402,2))</f>
        <v/>
      </c>
      <c r="H402" s="24"/>
      <c r="I402" s="25" t="str">
        <f aca="false">IF(C402="","",IF(ISNUMBER(G402),IF(G402&lt;-E402,"Actual – Loss (limit breached)",IF(G402&lt;0,"Actual – Loss",IF(G402&gt;0,"Actual – Profit","Actual – No trade"))),"Projection"))</f>
        <v/>
      </c>
      <c r="J402" s="26"/>
      <c r="K402" s="27"/>
    </row>
    <row r="403" customFormat="false" ht="15" hidden="false" customHeight="false" outlineLevel="0" collapsed="false">
      <c r="A403" s="20" t="str">
        <f aca="false">IF(C403="","",ROW()-12)</f>
        <v/>
      </c>
      <c r="B403" s="21" t="str">
        <f aca="false">IF(C403="","",WORKDAY($C$5-1,A403,'NSE Holidays'!$A$5:$A$64))</f>
        <v/>
      </c>
      <c r="C403" s="22" t="str">
        <f aca="false">IF(C402="","",IF(OR(IF(ISNUMBER(G402),H402,F402)&gt;=$C$7,IF(ISNUMBER(G402),H402,F402)&lt;=0),"",IF(ISNUMBER(G402),H402,F402)))</f>
        <v/>
      </c>
      <c r="D403" s="22" t="str">
        <f aca="false">IF(C403="","",ROUND(C403*$C$8,2))</f>
        <v/>
      </c>
      <c r="E403" s="22" t="str">
        <f aca="false">IF(C403="","",ROUND(C403*$C$9,2))</f>
        <v/>
      </c>
      <c r="F403" s="22" t="str">
        <f aca="false">IF(C403="","",C403+D403)</f>
        <v/>
      </c>
      <c r="G403" s="23" t="str">
        <f aca="false">IF(OR(C403="",NOT(ISNUMBER(H403))),"",ROUND(H403-C403,2))</f>
        <v/>
      </c>
      <c r="H403" s="24"/>
      <c r="I403" s="25" t="str">
        <f aca="false">IF(C403="","",IF(ISNUMBER(G403),IF(G403&lt;-E403,"Actual – Loss (limit breached)",IF(G403&lt;0,"Actual – Loss",IF(G403&gt;0,"Actual – Profit","Actual – No trade"))),"Projection"))</f>
        <v/>
      </c>
      <c r="J403" s="26"/>
      <c r="K403" s="27"/>
    </row>
    <row r="404" customFormat="false" ht="15" hidden="false" customHeight="false" outlineLevel="0" collapsed="false">
      <c r="A404" s="20" t="str">
        <f aca="false">IF(C404="","",ROW()-12)</f>
        <v/>
      </c>
      <c r="B404" s="21" t="str">
        <f aca="false">IF(C404="","",WORKDAY($C$5-1,A404,'NSE Holidays'!$A$5:$A$64))</f>
        <v/>
      </c>
      <c r="C404" s="22" t="str">
        <f aca="false">IF(C403="","",IF(OR(IF(ISNUMBER(G403),H403,F403)&gt;=$C$7,IF(ISNUMBER(G403),H403,F403)&lt;=0),"",IF(ISNUMBER(G403),H403,F403)))</f>
        <v/>
      </c>
      <c r="D404" s="22" t="str">
        <f aca="false">IF(C404="","",ROUND(C404*$C$8,2))</f>
        <v/>
      </c>
      <c r="E404" s="22" t="str">
        <f aca="false">IF(C404="","",ROUND(C404*$C$9,2))</f>
        <v/>
      </c>
      <c r="F404" s="22" t="str">
        <f aca="false">IF(C404="","",C404+D404)</f>
        <v/>
      </c>
      <c r="G404" s="23" t="str">
        <f aca="false">IF(OR(C404="",NOT(ISNUMBER(H404))),"",ROUND(H404-C404,2))</f>
        <v/>
      </c>
      <c r="H404" s="24"/>
      <c r="I404" s="25" t="str">
        <f aca="false">IF(C404="","",IF(ISNUMBER(G404),IF(G404&lt;-E404,"Actual – Loss (limit breached)",IF(G404&lt;0,"Actual – Loss",IF(G404&gt;0,"Actual – Profit","Actual – No trade"))),"Projection"))</f>
        <v/>
      </c>
      <c r="J404" s="26"/>
      <c r="K404" s="27"/>
    </row>
    <row r="405" customFormat="false" ht="15" hidden="false" customHeight="false" outlineLevel="0" collapsed="false">
      <c r="A405" s="20" t="str">
        <f aca="false">IF(C405="","",ROW()-12)</f>
        <v/>
      </c>
      <c r="B405" s="21" t="str">
        <f aca="false">IF(C405="","",WORKDAY($C$5-1,A405,'NSE Holidays'!$A$5:$A$64))</f>
        <v/>
      </c>
      <c r="C405" s="22" t="str">
        <f aca="false">IF(C404="","",IF(OR(IF(ISNUMBER(G404),H404,F404)&gt;=$C$7,IF(ISNUMBER(G404),H404,F404)&lt;=0),"",IF(ISNUMBER(G404),H404,F404)))</f>
        <v/>
      </c>
      <c r="D405" s="22" t="str">
        <f aca="false">IF(C405="","",ROUND(C405*$C$8,2))</f>
        <v/>
      </c>
      <c r="E405" s="22" t="str">
        <f aca="false">IF(C405="","",ROUND(C405*$C$9,2))</f>
        <v/>
      </c>
      <c r="F405" s="22" t="str">
        <f aca="false">IF(C405="","",C405+D405)</f>
        <v/>
      </c>
      <c r="G405" s="23" t="str">
        <f aca="false">IF(OR(C405="",NOT(ISNUMBER(H405))),"",ROUND(H405-C405,2))</f>
        <v/>
      </c>
      <c r="H405" s="24"/>
      <c r="I405" s="25" t="str">
        <f aca="false">IF(C405="","",IF(ISNUMBER(G405),IF(G405&lt;-E405,"Actual – Loss (limit breached)",IF(G405&lt;0,"Actual – Loss",IF(G405&gt;0,"Actual – Profit","Actual – No trade"))),"Projection"))</f>
        <v/>
      </c>
      <c r="J405" s="26"/>
      <c r="K405" s="27"/>
    </row>
    <row r="406" customFormat="false" ht="15" hidden="false" customHeight="false" outlineLevel="0" collapsed="false">
      <c r="A406" s="20" t="str">
        <f aca="false">IF(C406="","",ROW()-12)</f>
        <v/>
      </c>
      <c r="B406" s="21" t="str">
        <f aca="false">IF(C406="","",WORKDAY($C$5-1,A406,'NSE Holidays'!$A$5:$A$64))</f>
        <v/>
      </c>
      <c r="C406" s="22" t="str">
        <f aca="false">IF(C405="","",IF(OR(IF(ISNUMBER(G405),H405,F405)&gt;=$C$7,IF(ISNUMBER(G405),H405,F405)&lt;=0),"",IF(ISNUMBER(G405),H405,F405)))</f>
        <v/>
      </c>
      <c r="D406" s="22" t="str">
        <f aca="false">IF(C406="","",ROUND(C406*$C$8,2))</f>
        <v/>
      </c>
      <c r="E406" s="22" t="str">
        <f aca="false">IF(C406="","",ROUND(C406*$C$9,2))</f>
        <v/>
      </c>
      <c r="F406" s="22" t="str">
        <f aca="false">IF(C406="","",C406+D406)</f>
        <v/>
      </c>
      <c r="G406" s="23" t="str">
        <f aca="false">IF(OR(C406="",NOT(ISNUMBER(H406))),"",ROUND(H406-C406,2))</f>
        <v/>
      </c>
      <c r="H406" s="24"/>
      <c r="I406" s="25" t="str">
        <f aca="false">IF(C406="","",IF(ISNUMBER(G406),IF(G406&lt;-E406,"Actual – Loss (limit breached)",IF(G406&lt;0,"Actual – Loss",IF(G406&gt;0,"Actual – Profit","Actual – No trade"))),"Projection"))</f>
        <v/>
      </c>
      <c r="J406" s="26"/>
      <c r="K406" s="27"/>
    </row>
    <row r="407" customFormat="false" ht="15" hidden="false" customHeight="false" outlineLevel="0" collapsed="false">
      <c r="A407" s="20" t="str">
        <f aca="false">IF(C407="","",ROW()-12)</f>
        <v/>
      </c>
      <c r="B407" s="21" t="str">
        <f aca="false">IF(C407="","",WORKDAY($C$5-1,A407,'NSE Holidays'!$A$5:$A$64))</f>
        <v/>
      </c>
      <c r="C407" s="22" t="str">
        <f aca="false">IF(C406="","",IF(OR(IF(ISNUMBER(G406),H406,F406)&gt;=$C$7,IF(ISNUMBER(G406),H406,F406)&lt;=0),"",IF(ISNUMBER(G406),H406,F406)))</f>
        <v/>
      </c>
      <c r="D407" s="22" t="str">
        <f aca="false">IF(C407="","",ROUND(C407*$C$8,2))</f>
        <v/>
      </c>
      <c r="E407" s="22" t="str">
        <f aca="false">IF(C407="","",ROUND(C407*$C$9,2))</f>
        <v/>
      </c>
      <c r="F407" s="22" t="str">
        <f aca="false">IF(C407="","",C407+D407)</f>
        <v/>
      </c>
      <c r="G407" s="23" t="str">
        <f aca="false">IF(OR(C407="",NOT(ISNUMBER(H407))),"",ROUND(H407-C407,2))</f>
        <v/>
      </c>
      <c r="H407" s="24"/>
      <c r="I407" s="25" t="str">
        <f aca="false">IF(C407="","",IF(ISNUMBER(G407),IF(G407&lt;-E407,"Actual – Loss (limit breached)",IF(G407&lt;0,"Actual – Loss",IF(G407&gt;0,"Actual – Profit","Actual – No trade"))),"Projection"))</f>
        <v/>
      </c>
      <c r="J407" s="26"/>
      <c r="K407" s="27"/>
    </row>
    <row r="408" customFormat="false" ht="15" hidden="false" customHeight="false" outlineLevel="0" collapsed="false">
      <c r="A408" s="20" t="str">
        <f aca="false">IF(C408="","",ROW()-12)</f>
        <v/>
      </c>
      <c r="B408" s="21" t="str">
        <f aca="false">IF(C408="","",WORKDAY($C$5-1,A408,'NSE Holidays'!$A$5:$A$64))</f>
        <v/>
      </c>
      <c r="C408" s="22" t="str">
        <f aca="false">IF(C407="","",IF(OR(IF(ISNUMBER(G407),H407,F407)&gt;=$C$7,IF(ISNUMBER(G407),H407,F407)&lt;=0),"",IF(ISNUMBER(G407),H407,F407)))</f>
        <v/>
      </c>
      <c r="D408" s="22" t="str">
        <f aca="false">IF(C408="","",ROUND(C408*$C$8,2))</f>
        <v/>
      </c>
      <c r="E408" s="22" t="str">
        <f aca="false">IF(C408="","",ROUND(C408*$C$9,2))</f>
        <v/>
      </c>
      <c r="F408" s="22" t="str">
        <f aca="false">IF(C408="","",C408+D408)</f>
        <v/>
      </c>
      <c r="G408" s="23" t="str">
        <f aca="false">IF(OR(C408="",NOT(ISNUMBER(H408))),"",ROUND(H408-C408,2))</f>
        <v/>
      </c>
      <c r="H408" s="24"/>
      <c r="I408" s="25" t="str">
        <f aca="false">IF(C408="","",IF(ISNUMBER(G408),IF(G408&lt;-E408,"Actual – Loss (limit breached)",IF(G408&lt;0,"Actual – Loss",IF(G408&gt;0,"Actual – Profit","Actual – No trade"))),"Projection"))</f>
        <v/>
      </c>
      <c r="J408" s="26"/>
      <c r="K408" s="27"/>
    </row>
    <row r="409" customFormat="false" ht="15" hidden="false" customHeight="false" outlineLevel="0" collapsed="false">
      <c r="A409" s="20" t="str">
        <f aca="false">IF(C409="","",ROW()-12)</f>
        <v/>
      </c>
      <c r="B409" s="21" t="str">
        <f aca="false">IF(C409="","",WORKDAY($C$5-1,A409,'NSE Holidays'!$A$5:$A$64))</f>
        <v/>
      </c>
      <c r="C409" s="22" t="str">
        <f aca="false">IF(C408="","",IF(OR(IF(ISNUMBER(G408),H408,F408)&gt;=$C$7,IF(ISNUMBER(G408),H408,F408)&lt;=0),"",IF(ISNUMBER(G408),H408,F408)))</f>
        <v/>
      </c>
      <c r="D409" s="22" t="str">
        <f aca="false">IF(C409="","",ROUND(C409*$C$8,2))</f>
        <v/>
      </c>
      <c r="E409" s="22" t="str">
        <f aca="false">IF(C409="","",ROUND(C409*$C$9,2))</f>
        <v/>
      </c>
      <c r="F409" s="22" t="str">
        <f aca="false">IF(C409="","",C409+D409)</f>
        <v/>
      </c>
      <c r="G409" s="23" t="str">
        <f aca="false">IF(OR(C409="",NOT(ISNUMBER(H409))),"",ROUND(H409-C409,2))</f>
        <v/>
      </c>
      <c r="H409" s="24"/>
      <c r="I409" s="25" t="str">
        <f aca="false">IF(C409="","",IF(ISNUMBER(G409),IF(G409&lt;-E409,"Actual – Loss (limit breached)",IF(G409&lt;0,"Actual – Loss",IF(G409&gt;0,"Actual – Profit","Actual – No trade"))),"Projection"))</f>
        <v/>
      </c>
      <c r="J409" s="26"/>
      <c r="K409" s="27"/>
    </row>
    <row r="410" customFormat="false" ht="15" hidden="false" customHeight="false" outlineLevel="0" collapsed="false">
      <c r="A410" s="20" t="str">
        <f aca="false">IF(C410="","",ROW()-12)</f>
        <v/>
      </c>
      <c r="B410" s="21" t="str">
        <f aca="false">IF(C410="","",WORKDAY($C$5-1,A410,'NSE Holidays'!$A$5:$A$64))</f>
        <v/>
      </c>
      <c r="C410" s="22" t="str">
        <f aca="false">IF(C409="","",IF(OR(IF(ISNUMBER(G409),H409,F409)&gt;=$C$7,IF(ISNUMBER(G409),H409,F409)&lt;=0),"",IF(ISNUMBER(G409),H409,F409)))</f>
        <v/>
      </c>
      <c r="D410" s="22" t="str">
        <f aca="false">IF(C410="","",ROUND(C410*$C$8,2))</f>
        <v/>
      </c>
      <c r="E410" s="22" t="str">
        <f aca="false">IF(C410="","",ROUND(C410*$C$9,2))</f>
        <v/>
      </c>
      <c r="F410" s="22" t="str">
        <f aca="false">IF(C410="","",C410+D410)</f>
        <v/>
      </c>
      <c r="G410" s="23" t="str">
        <f aca="false">IF(OR(C410="",NOT(ISNUMBER(H410))),"",ROUND(H410-C410,2))</f>
        <v/>
      </c>
      <c r="H410" s="24"/>
      <c r="I410" s="25" t="str">
        <f aca="false">IF(C410="","",IF(ISNUMBER(G410),IF(G410&lt;-E410,"Actual – Loss (limit breached)",IF(G410&lt;0,"Actual – Loss",IF(G410&gt;0,"Actual – Profit","Actual – No trade"))),"Projection"))</f>
        <v/>
      </c>
      <c r="J410" s="26"/>
      <c r="K410" s="27"/>
    </row>
    <row r="411" customFormat="false" ht="15" hidden="false" customHeight="false" outlineLevel="0" collapsed="false">
      <c r="A411" s="20" t="str">
        <f aca="false">IF(C411="","",ROW()-12)</f>
        <v/>
      </c>
      <c r="B411" s="21" t="str">
        <f aca="false">IF(C411="","",WORKDAY($C$5-1,A411,'NSE Holidays'!$A$5:$A$64))</f>
        <v/>
      </c>
      <c r="C411" s="22" t="str">
        <f aca="false">IF(C410="","",IF(OR(IF(ISNUMBER(G410),H410,F410)&gt;=$C$7,IF(ISNUMBER(G410),H410,F410)&lt;=0),"",IF(ISNUMBER(G410),H410,F410)))</f>
        <v/>
      </c>
      <c r="D411" s="22" t="str">
        <f aca="false">IF(C411="","",ROUND(C411*$C$8,2))</f>
        <v/>
      </c>
      <c r="E411" s="22" t="str">
        <f aca="false">IF(C411="","",ROUND(C411*$C$9,2))</f>
        <v/>
      </c>
      <c r="F411" s="22" t="str">
        <f aca="false">IF(C411="","",C411+D411)</f>
        <v/>
      </c>
      <c r="G411" s="23" t="str">
        <f aca="false">IF(OR(C411="",NOT(ISNUMBER(H411))),"",ROUND(H411-C411,2))</f>
        <v/>
      </c>
      <c r="H411" s="24"/>
      <c r="I411" s="25" t="str">
        <f aca="false">IF(C411="","",IF(ISNUMBER(G411),IF(G411&lt;-E411,"Actual – Loss (limit breached)",IF(G411&lt;0,"Actual – Loss",IF(G411&gt;0,"Actual – Profit","Actual – No trade"))),"Projection"))</f>
        <v/>
      </c>
      <c r="J411" s="26"/>
      <c r="K411" s="27"/>
    </row>
    <row r="412" customFormat="false" ht="15" hidden="false" customHeight="false" outlineLevel="0" collapsed="false">
      <c r="A412" s="20" t="str">
        <f aca="false">IF(C412="","",ROW()-12)</f>
        <v/>
      </c>
      <c r="B412" s="21" t="str">
        <f aca="false">IF(C412="","",WORKDAY($C$5-1,A412,'NSE Holidays'!$A$5:$A$64))</f>
        <v/>
      </c>
      <c r="C412" s="22" t="str">
        <f aca="false">IF(C411="","",IF(OR(IF(ISNUMBER(G411),H411,F411)&gt;=$C$7,IF(ISNUMBER(G411),H411,F411)&lt;=0),"",IF(ISNUMBER(G411),H411,F411)))</f>
        <v/>
      </c>
      <c r="D412" s="22" t="str">
        <f aca="false">IF(C412="","",ROUND(C412*$C$8,2))</f>
        <v/>
      </c>
      <c r="E412" s="22" t="str">
        <f aca="false">IF(C412="","",ROUND(C412*$C$9,2))</f>
        <v/>
      </c>
      <c r="F412" s="22" t="str">
        <f aca="false">IF(C412="","",C412+D412)</f>
        <v/>
      </c>
      <c r="G412" s="23" t="str">
        <f aca="false">IF(OR(C412="",NOT(ISNUMBER(H412))),"",ROUND(H412-C412,2))</f>
        <v/>
      </c>
      <c r="H412" s="24"/>
      <c r="I412" s="25" t="str">
        <f aca="false">IF(C412="","",IF(ISNUMBER(G412),IF(G412&lt;-E412,"Actual – Loss (limit breached)",IF(G412&lt;0,"Actual – Loss",IF(G412&gt;0,"Actual – Profit","Actual – No trade"))),"Projection"))</f>
        <v/>
      </c>
      <c r="J412" s="26"/>
      <c r="K412" s="27"/>
    </row>
    <row r="413" customFormat="false" ht="15" hidden="false" customHeight="false" outlineLevel="0" collapsed="false">
      <c r="A413" s="20" t="str">
        <f aca="false">IF(C413="","",ROW()-12)</f>
        <v/>
      </c>
      <c r="B413" s="21" t="str">
        <f aca="false">IF(C413="","",WORKDAY($C$5-1,A413,'NSE Holidays'!$A$5:$A$64))</f>
        <v/>
      </c>
      <c r="C413" s="22" t="str">
        <f aca="false">IF(C412="","",IF(OR(IF(ISNUMBER(G412),H412,F412)&gt;=$C$7,IF(ISNUMBER(G412),H412,F412)&lt;=0),"",IF(ISNUMBER(G412),H412,F412)))</f>
        <v/>
      </c>
      <c r="D413" s="22" t="str">
        <f aca="false">IF(C413="","",ROUND(C413*$C$8,2))</f>
        <v/>
      </c>
      <c r="E413" s="22" t="str">
        <f aca="false">IF(C413="","",ROUND(C413*$C$9,2))</f>
        <v/>
      </c>
      <c r="F413" s="22" t="str">
        <f aca="false">IF(C413="","",C413+D413)</f>
        <v/>
      </c>
      <c r="G413" s="23" t="str">
        <f aca="false">IF(OR(C413="",NOT(ISNUMBER(H413))),"",ROUND(H413-C413,2))</f>
        <v/>
      </c>
      <c r="H413" s="24"/>
      <c r="I413" s="25" t="str">
        <f aca="false">IF(C413="","",IF(ISNUMBER(G413),IF(G413&lt;-E413,"Actual – Loss (limit breached)",IF(G413&lt;0,"Actual – Loss",IF(G413&gt;0,"Actual – Profit","Actual – No trade"))),"Projection"))</f>
        <v/>
      </c>
      <c r="J413" s="26"/>
      <c r="K413" s="27"/>
    </row>
    <row r="414" customFormat="false" ht="15" hidden="false" customHeight="false" outlineLevel="0" collapsed="false">
      <c r="A414" s="20" t="str">
        <f aca="false">IF(C414="","",ROW()-12)</f>
        <v/>
      </c>
      <c r="B414" s="21" t="str">
        <f aca="false">IF(C414="","",WORKDAY($C$5-1,A414,'NSE Holidays'!$A$5:$A$64))</f>
        <v/>
      </c>
      <c r="C414" s="22" t="str">
        <f aca="false">IF(C413="","",IF(OR(IF(ISNUMBER(G413),H413,F413)&gt;=$C$7,IF(ISNUMBER(G413),H413,F413)&lt;=0),"",IF(ISNUMBER(G413),H413,F413)))</f>
        <v/>
      </c>
      <c r="D414" s="22" t="str">
        <f aca="false">IF(C414="","",ROUND(C414*$C$8,2))</f>
        <v/>
      </c>
      <c r="E414" s="22" t="str">
        <f aca="false">IF(C414="","",ROUND(C414*$C$9,2))</f>
        <v/>
      </c>
      <c r="F414" s="22" t="str">
        <f aca="false">IF(C414="","",C414+D414)</f>
        <v/>
      </c>
      <c r="G414" s="23" t="str">
        <f aca="false">IF(OR(C414="",NOT(ISNUMBER(H414))),"",ROUND(H414-C414,2))</f>
        <v/>
      </c>
      <c r="H414" s="24"/>
      <c r="I414" s="25" t="str">
        <f aca="false">IF(C414="","",IF(ISNUMBER(G414),IF(G414&lt;-E414,"Actual – Loss (limit breached)",IF(G414&lt;0,"Actual – Loss",IF(G414&gt;0,"Actual – Profit","Actual – No trade"))),"Projection"))</f>
        <v/>
      </c>
      <c r="J414" s="26"/>
      <c r="K414" s="27"/>
    </row>
    <row r="415" customFormat="false" ht="15" hidden="false" customHeight="false" outlineLevel="0" collapsed="false">
      <c r="A415" s="20" t="str">
        <f aca="false">IF(C415="","",ROW()-12)</f>
        <v/>
      </c>
      <c r="B415" s="21" t="str">
        <f aca="false">IF(C415="","",WORKDAY($C$5-1,A415,'NSE Holidays'!$A$5:$A$64))</f>
        <v/>
      </c>
      <c r="C415" s="22" t="str">
        <f aca="false">IF(C414="","",IF(OR(IF(ISNUMBER(G414),H414,F414)&gt;=$C$7,IF(ISNUMBER(G414),H414,F414)&lt;=0),"",IF(ISNUMBER(G414),H414,F414)))</f>
        <v/>
      </c>
      <c r="D415" s="22" t="str">
        <f aca="false">IF(C415="","",ROUND(C415*$C$8,2))</f>
        <v/>
      </c>
      <c r="E415" s="22" t="str">
        <f aca="false">IF(C415="","",ROUND(C415*$C$9,2))</f>
        <v/>
      </c>
      <c r="F415" s="22" t="str">
        <f aca="false">IF(C415="","",C415+D415)</f>
        <v/>
      </c>
      <c r="G415" s="23" t="str">
        <f aca="false">IF(OR(C415="",NOT(ISNUMBER(H415))),"",ROUND(H415-C415,2))</f>
        <v/>
      </c>
      <c r="H415" s="24"/>
      <c r="I415" s="25" t="str">
        <f aca="false">IF(C415="","",IF(ISNUMBER(G415),IF(G415&lt;-E415,"Actual – Loss (limit breached)",IF(G415&lt;0,"Actual – Loss",IF(G415&gt;0,"Actual – Profit","Actual – No trade"))),"Projection"))</f>
        <v/>
      </c>
      <c r="J415" s="26"/>
      <c r="K415" s="27"/>
    </row>
    <row r="416" customFormat="false" ht="15" hidden="false" customHeight="false" outlineLevel="0" collapsed="false">
      <c r="A416" s="20" t="str">
        <f aca="false">IF(C416="","",ROW()-12)</f>
        <v/>
      </c>
      <c r="B416" s="21" t="str">
        <f aca="false">IF(C416="","",WORKDAY($C$5-1,A416,'NSE Holidays'!$A$5:$A$64))</f>
        <v/>
      </c>
      <c r="C416" s="22" t="str">
        <f aca="false">IF(C415="","",IF(OR(IF(ISNUMBER(G415),H415,F415)&gt;=$C$7,IF(ISNUMBER(G415),H415,F415)&lt;=0),"",IF(ISNUMBER(G415),H415,F415)))</f>
        <v/>
      </c>
      <c r="D416" s="22" t="str">
        <f aca="false">IF(C416="","",ROUND(C416*$C$8,2))</f>
        <v/>
      </c>
      <c r="E416" s="22" t="str">
        <f aca="false">IF(C416="","",ROUND(C416*$C$9,2))</f>
        <v/>
      </c>
      <c r="F416" s="22" t="str">
        <f aca="false">IF(C416="","",C416+D416)</f>
        <v/>
      </c>
      <c r="G416" s="23" t="str">
        <f aca="false">IF(OR(C416="",NOT(ISNUMBER(H416))),"",ROUND(H416-C416,2))</f>
        <v/>
      </c>
      <c r="H416" s="24"/>
      <c r="I416" s="25" t="str">
        <f aca="false">IF(C416="","",IF(ISNUMBER(G416),IF(G416&lt;-E416,"Actual – Loss (limit breached)",IF(G416&lt;0,"Actual – Loss",IF(G416&gt;0,"Actual – Profit","Actual – No trade"))),"Projection"))</f>
        <v/>
      </c>
      <c r="J416" s="26"/>
      <c r="K416" s="27"/>
    </row>
    <row r="417" customFormat="false" ht="15" hidden="false" customHeight="false" outlineLevel="0" collapsed="false">
      <c r="A417" s="20" t="str">
        <f aca="false">IF(C417="","",ROW()-12)</f>
        <v/>
      </c>
      <c r="B417" s="21" t="str">
        <f aca="false">IF(C417="","",WORKDAY($C$5-1,A417,'NSE Holidays'!$A$5:$A$64))</f>
        <v/>
      </c>
      <c r="C417" s="22" t="str">
        <f aca="false">IF(C416="","",IF(OR(IF(ISNUMBER(G416),H416,F416)&gt;=$C$7,IF(ISNUMBER(G416),H416,F416)&lt;=0),"",IF(ISNUMBER(G416),H416,F416)))</f>
        <v/>
      </c>
      <c r="D417" s="22" t="str">
        <f aca="false">IF(C417="","",ROUND(C417*$C$8,2))</f>
        <v/>
      </c>
      <c r="E417" s="22" t="str">
        <f aca="false">IF(C417="","",ROUND(C417*$C$9,2))</f>
        <v/>
      </c>
      <c r="F417" s="22" t="str">
        <f aca="false">IF(C417="","",C417+D417)</f>
        <v/>
      </c>
      <c r="G417" s="23" t="str">
        <f aca="false">IF(OR(C417="",NOT(ISNUMBER(H417))),"",ROUND(H417-C417,2))</f>
        <v/>
      </c>
      <c r="H417" s="24"/>
      <c r="I417" s="25" t="str">
        <f aca="false">IF(C417="","",IF(ISNUMBER(G417),IF(G417&lt;-E417,"Actual – Loss (limit breached)",IF(G417&lt;0,"Actual – Loss",IF(G417&gt;0,"Actual – Profit","Actual – No trade"))),"Projection"))</f>
        <v/>
      </c>
      <c r="J417" s="26"/>
      <c r="K417" s="27"/>
    </row>
    <row r="418" customFormat="false" ht="15" hidden="false" customHeight="false" outlineLevel="0" collapsed="false">
      <c r="A418" s="20" t="str">
        <f aca="false">IF(C418="","",ROW()-12)</f>
        <v/>
      </c>
      <c r="B418" s="21" t="str">
        <f aca="false">IF(C418="","",WORKDAY($C$5-1,A418,'NSE Holidays'!$A$5:$A$64))</f>
        <v/>
      </c>
      <c r="C418" s="22" t="str">
        <f aca="false">IF(C417="","",IF(OR(IF(ISNUMBER(G417),H417,F417)&gt;=$C$7,IF(ISNUMBER(G417),H417,F417)&lt;=0),"",IF(ISNUMBER(G417),H417,F417)))</f>
        <v/>
      </c>
      <c r="D418" s="22" t="str">
        <f aca="false">IF(C418="","",ROUND(C418*$C$8,2))</f>
        <v/>
      </c>
      <c r="E418" s="22" t="str">
        <f aca="false">IF(C418="","",ROUND(C418*$C$9,2))</f>
        <v/>
      </c>
      <c r="F418" s="22" t="str">
        <f aca="false">IF(C418="","",C418+D418)</f>
        <v/>
      </c>
      <c r="G418" s="23" t="str">
        <f aca="false">IF(OR(C418="",NOT(ISNUMBER(H418))),"",ROUND(H418-C418,2))</f>
        <v/>
      </c>
      <c r="H418" s="24"/>
      <c r="I418" s="25" t="str">
        <f aca="false">IF(C418="","",IF(ISNUMBER(G418),IF(G418&lt;-E418,"Actual – Loss (limit breached)",IF(G418&lt;0,"Actual – Loss",IF(G418&gt;0,"Actual – Profit","Actual – No trade"))),"Projection"))</f>
        <v/>
      </c>
      <c r="J418" s="26"/>
      <c r="K418" s="27"/>
    </row>
    <row r="419" customFormat="false" ht="15" hidden="false" customHeight="false" outlineLevel="0" collapsed="false">
      <c r="A419" s="20" t="str">
        <f aca="false">IF(C419="","",ROW()-12)</f>
        <v/>
      </c>
      <c r="B419" s="21" t="str">
        <f aca="false">IF(C419="","",WORKDAY($C$5-1,A419,'NSE Holidays'!$A$5:$A$64))</f>
        <v/>
      </c>
      <c r="C419" s="22" t="str">
        <f aca="false">IF(C418="","",IF(OR(IF(ISNUMBER(G418),H418,F418)&gt;=$C$7,IF(ISNUMBER(G418),H418,F418)&lt;=0),"",IF(ISNUMBER(G418),H418,F418)))</f>
        <v/>
      </c>
      <c r="D419" s="22" t="str">
        <f aca="false">IF(C419="","",ROUND(C419*$C$8,2))</f>
        <v/>
      </c>
      <c r="E419" s="22" t="str">
        <f aca="false">IF(C419="","",ROUND(C419*$C$9,2))</f>
        <v/>
      </c>
      <c r="F419" s="22" t="str">
        <f aca="false">IF(C419="","",C419+D419)</f>
        <v/>
      </c>
      <c r="G419" s="23" t="str">
        <f aca="false">IF(OR(C419="",NOT(ISNUMBER(H419))),"",ROUND(H419-C419,2))</f>
        <v/>
      </c>
      <c r="H419" s="24"/>
      <c r="I419" s="25" t="str">
        <f aca="false">IF(C419="","",IF(ISNUMBER(G419),IF(G419&lt;-E419,"Actual – Loss (limit breached)",IF(G419&lt;0,"Actual – Loss",IF(G419&gt;0,"Actual – Profit","Actual – No trade"))),"Projection"))</f>
        <v/>
      </c>
      <c r="J419" s="26"/>
      <c r="K419" s="27"/>
    </row>
    <row r="420" customFormat="false" ht="15" hidden="false" customHeight="false" outlineLevel="0" collapsed="false">
      <c r="A420" s="20" t="str">
        <f aca="false">IF(C420="","",ROW()-12)</f>
        <v/>
      </c>
      <c r="B420" s="21" t="str">
        <f aca="false">IF(C420="","",WORKDAY($C$5-1,A420,'NSE Holidays'!$A$5:$A$64))</f>
        <v/>
      </c>
      <c r="C420" s="22" t="str">
        <f aca="false">IF(C419="","",IF(OR(IF(ISNUMBER(G419),H419,F419)&gt;=$C$7,IF(ISNUMBER(G419),H419,F419)&lt;=0),"",IF(ISNUMBER(G419),H419,F419)))</f>
        <v/>
      </c>
      <c r="D420" s="22" t="str">
        <f aca="false">IF(C420="","",ROUND(C420*$C$8,2))</f>
        <v/>
      </c>
      <c r="E420" s="22" t="str">
        <f aca="false">IF(C420="","",ROUND(C420*$C$9,2))</f>
        <v/>
      </c>
      <c r="F420" s="22" t="str">
        <f aca="false">IF(C420="","",C420+D420)</f>
        <v/>
      </c>
      <c r="G420" s="23" t="str">
        <f aca="false">IF(OR(C420="",NOT(ISNUMBER(H420))),"",ROUND(H420-C420,2))</f>
        <v/>
      </c>
      <c r="H420" s="24"/>
      <c r="I420" s="25" t="str">
        <f aca="false">IF(C420="","",IF(ISNUMBER(G420),IF(G420&lt;-E420,"Actual – Loss (limit breached)",IF(G420&lt;0,"Actual – Loss",IF(G420&gt;0,"Actual – Profit","Actual – No trade"))),"Projection"))</f>
        <v/>
      </c>
      <c r="J420" s="26"/>
      <c r="K420" s="27"/>
    </row>
    <row r="421" customFormat="false" ht="15" hidden="false" customHeight="false" outlineLevel="0" collapsed="false">
      <c r="A421" s="20" t="str">
        <f aca="false">IF(C421="","",ROW()-12)</f>
        <v/>
      </c>
      <c r="B421" s="21" t="str">
        <f aca="false">IF(C421="","",WORKDAY($C$5-1,A421,'NSE Holidays'!$A$5:$A$64))</f>
        <v/>
      </c>
      <c r="C421" s="22" t="str">
        <f aca="false">IF(C420="","",IF(OR(IF(ISNUMBER(G420),H420,F420)&gt;=$C$7,IF(ISNUMBER(G420),H420,F420)&lt;=0),"",IF(ISNUMBER(G420),H420,F420)))</f>
        <v/>
      </c>
      <c r="D421" s="22" t="str">
        <f aca="false">IF(C421="","",ROUND(C421*$C$8,2))</f>
        <v/>
      </c>
      <c r="E421" s="22" t="str">
        <f aca="false">IF(C421="","",ROUND(C421*$C$9,2))</f>
        <v/>
      </c>
      <c r="F421" s="22" t="str">
        <f aca="false">IF(C421="","",C421+D421)</f>
        <v/>
      </c>
      <c r="G421" s="23" t="str">
        <f aca="false">IF(OR(C421="",NOT(ISNUMBER(H421))),"",ROUND(H421-C421,2))</f>
        <v/>
      </c>
      <c r="H421" s="24"/>
      <c r="I421" s="25" t="str">
        <f aca="false">IF(C421="","",IF(ISNUMBER(G421),IF(G421&lt;-E421,"Actual – Loss (limit breached)",IF(G421&lt;0,"Actual – Loss",IF(G421&gt;0,"Actual – Profit","Actual – No trade"))),"Projection"))</f>
        <v/>
      </c>
      <c r="J421" s="26"/>
      <c r="K421" s="27"/>
    </row>
    <row r="422" customFormat="false" ht="15" hidden="false" customHeight="false" outlineLevel="0" collapsed="false">
      <c r="A422" s="20" t="str">
        <f aca="false">IF(C422="","",ROW()-12)</f>
        <v/>
      </c>
      <c r="B422" s="21" t="str">
        <f aca="false">IF(C422="","",WORKDAY($C$5-1,A422,'NSE Holidays'!$A$5:$A$64))</f>
        <v/>
      </c>
      <c r="C422" s="22" t="str">
        <f aca="false">IF(C421="","",IF(OR(IF(ISNUMBER(G421),H421,F421)&gt;=$C$7,IF(ISNUMBER(G421),H421,F421)&lt;=0),"",IF(ISNUMBER(G421),H421,F421)))</f>
        <v/>
      </c>
      <c r="D422" s="22" t="str">
        <f aca="false">IF(C422="","",ROUND(C422*$C$8,2))</f>
        <v/>
      </c>
      <c r="E422" s="22" t="str">
        <f aca="false">IF(C422="","",ROUND(C422*$C$9,2))</f>
        <v/>
      </c>
      <c r="F422" s="22" t="str">
        <f aca="false">IF(C422="","",C422+D422)</f>
        <v/>
      </c>
      <c r="G422" s="23" t="str">
        <f aca="false">IF(OR(C422="",NOT(ISNUMBER(H422))),"",ROUND(H422-C422,2))</f>
        <v/>
      </c>
      <c r="H422" s="24"/>
      <c r="I422" s="25" t="str">
        <f aca="false">IF(C422="","",IF(ISNUMBER(G422),IF(G422&lt;-E422,"Actual – Loss (limit breached)",IF(G422&lt;0,"Actual – Loss",IF(G422&gt;0,"Actual – Profit","Actual – No trade"))),"Projection"))</f>
        <v/>
      </c>
      <c r="J422" s="26"/>
      <c r="K422" s="27"/>
    </row>
    <row r="423" customFormat="false" ht="15" hidden="false" customHeight="false" outlineLevel="0" collapsed="false">
      <c r="A423" s="20" t="str">
        <f aca="false">IF(C423="","",ROW()-12)</f>
        <v/>
      </c>
      <c r="B423" s="21" t="str">
        <f aca="false">IF(C423="","",WORKDAY($C$5-1,A423,'NSE Holidays'!$A$5:$A$64))</f>
        <v/>
      </c>
      <c r="C423" s="22" t="str">
        <f aca="false">IF(C422="","",IF(OR(IF(ISNUMBER(G422),H422,F422)&gt;=$C$7,IF(ISNUMBER(G422),H422,F422)&lt;=0),"",IF(ISNUMBER(G422),H422,F422)))</f>
        <v/>
      </c>
      <c r="D423" s="22" t="str">
        <f aca="false">IF(C423="","",ROUND(C423*$C$8,2))</f>
        <v/>
      </c>
      <c r="E423" s="22" t="str">
        <f aca="false">IF(C423="","",ROUND(C423*$C$9,2))</f>
        <v/>
      </c>
      <c r="F423" s="22" t="str">
        <f aca="false">IF(C423="","",C423+D423)</f>
        <v/>
      </c>
      <c r="G423" s="23" t="str">
        <f aca="false">IF(OR(C423="",NOT(ISNUMBER(H423))),"",ROUND(H423-C423,2))</f>
        <v/>
      </c>
      <c r="H423" s="24"/>
      <c r="I423" s="25" t="str">
        <f aca="false">IF(C423="","",IF(ISNUMBER(G423),IF(G423&lt;-E423,"Actual – Loss (limit breached)",IF(G423&lt;0,"Actual – Loss",IF(G423&gt;0,"Actual – Profit","Actual – No trade"))),"Projection"))</f>
        <v/>
      </c>
      <c r="J423" s="26"/>
      <c r="K423" s="27"/>
    </row>
    <row r="424" customFormat="false" ht="15" hidden="false" customHeight="false" outlineLevel="0" collapsed="false">
      <c r="A424" s="20" t="str">
        <f aca="false">IF(C424="","",ROW()-12)</f>
        <v/>
      </c>
      <c r="B424" s="21" t="str">
        <f aca="false">IF(C424="","",WORKDAY($C$5-1,A424,'NSE Holidays'!$A$5:$A$64))</f>
        <v/>
      </c>
      <c r="C424" s="22" t="str">
        <f aca="false">IF(C423="","",IF(OR(IF(ISNUMBER(G423),H423,F423)&gt;=$C$7,IF(ISNUMBER(G423),H423,F423)&lt;=0),"",IF(ISNUMBER(G423),H423,F423)))</f>
        <v/>
      </c>
      <c r="D424" s="22" t="str">
        <f aca="false">IF(C424="","",ROUND(C424*$C$8,2))</f>
        <v/>
      </c>
      <c r="E424" s="22" t="str">
        <f aca="false">IF(C424="","",ROUND(C424*$C$9,2))</f>
        <v/>
      </c>
      <c r="F424" s="22" t="str">
        <f aca="false">IF(C424="","",C424+D424)</f>
        <v/>
      </c>
      <c r="G424" s="23" t="str">
        <f aca="false">IF(OR(C424="",NOT(ISNUMBER(H424))),"",ROUND(H424-C424,2))</f>
        <v/>
      </c>
      <c r="H424" s="24"/>
      <c r="I424" s="25" t="str">
        <f aca="false">IF(C424="","",IF(ISNUMBER(G424),IF(G424&lt;-E424,"Actual – Loss (limit breached)",IF(G424&lt;0,"Actual – Loss",IF(G424&gt;0,"Actual – Profit","Actual – No trade"))),"Projection"))</f>
        <v/>
      </c>
      <c r="J424" s="26"/>
      <c r="K424" s="27"/>
    </row>
    <row r="425" customFormat="false" ht="15" hidden="false" customHeight="false" outlineLevel="0" collapsed="false">
      <c r="A425" s="20" t="str">
        <f aca="false">IF(C425="","",ROW()-12)</f>
        <v/>
      </c>
      <c r="B425" s="21" t="str">
        <f aca="false">IF(C425="","",WORKDAY($C$5-1,A425,'NSE Holidays'!$A$5:$A$64))</f>
        <v/>
      </c>
      <c r="C425" s="22" t="str">
        <f aca="false">IF(C424="","",IF(OR(IF(ISNUMBER(G424),H424,F424)&gt;=$C$7,IF(ISNUMBER(G424),H424,F424)&lt;=0),"",IF(ISNUMBER(G424),H424,F424)))</f>
        <v/>
      </c>
      <c r="D425" s="22" t="str">
        <f aca="false">IF(C425="","",ROUND(C425*$C$8,2))</f>
        <v/>
      </c>
      <c r="E425" s="22" t="str">
        <f aca="false">IF(C425="","",ROUND(C425*$C$9,2))</f>
        <v/>
      </c>
      <c r="F425" s="22" t="str">
        <f aca="false">IF(C425="","",C425+D425)</f>
        <v/>
      </c>
      <c r="G425" s="23" t="str">
        <f aca="false">IF(OR(C425="",NOT(ISNUMBER(H425))),"",ROUND(H425-C425,2))</f>
        <v/>
      </c>
      <c r="H425" s="24"/>
      <c r="I425" s="25" t="str">
        <f aca="false">IF(C425="","",IF(ISNUMBER(G425),IF(G425&lt;-E425,"Actual – Loss (limit breached)",IF(G425&lt;0,"Actual – Loss",IF(G425&gt;0,"Actual – Profit","Actual – No trade"))),"Projection"))</f>
        <v/>
      </c>
      <c r="J425" s="26"/>
      <c r="K425" s="27"/>
    </row>
    <row r="426" customFormat="false" ht="15" hidden="false" customHeight="false" outlineLevel="0" collapsed="false">
      <c r="A426" s="20" t="str">
        <f aca="false">IF(C426="","",ROW()-12)</f>
        <v/>
      </c>
      <c r="B426" s="21" t="str">
        <f aca="false">IF(C426="","",WORKDAY($C$5-1,A426,'NSE Holidays'!$A$5:$A$64))</f>
        <v/>
      </c>
      <c r="C426" s="22" t="str">
        <f aca="false">IF(C425="","",IF(OR(IF(ISNUMBER(G425),H425,F425)&gt;=$C$7,IF(ISNUMBER(G425),H425,F425)&lt;=0),"",IF(ISNUMBER(G425),H425,F425)))</f>
        <v/>
      </c>
      <c r="D426" s="22" t="str">
        <f aca="false">IF(C426="","",ROUND(C426*$C$8,2))</f>
        <v/>
      </c>
      <c r="E426" s="22" t="str">
        <f aca="false">IF(C426="","",ROUND(C426*$C$9,2))</f>
        <v/>
      </c>
      <c r="F426" s="22" t="str">
        <f aca="false">IF(C426="","",C426+D426)</f>
        <v/>
      </c>
      <c r="G426" s="23" t="str">
        <f aca="false">IF(OR(C426="",NOT(ISNUMBER(H426))),"",ROUND(H426-C426,2))</f>
        <v/>
      </c>
      <c r="H426" s="24"/>
      <c r="I426" s="25" t="str">
        <f aca="false">IF(C426="","",IF(ISNUMBER(G426),IF(G426&lt;-E426,"Actual – Loss (limit breached)",IF(G426&lt;0,"Actual – Loss",IF(G426&gt;0,"Actual – Profit","Actual – No trade"))),"Projection"))</f>
        <v/>
      </c>
      <c r="J426" s="26"/>
      <c r="K426" s="27"/>
    </row>
    <row r="427" customFormat="false" ht="15" hidden="false" customHeight="false" outlineLevel="0" collapsed="false">
      <c r="A427" s="20" t="str">
        <f aca="false">IF(C427="","",ROW()-12)</f>
        <v/>
      </c>
      <c r="B427" s="21" t="str">
        <f aca="false">IF(C427="","",WORKDAY($C$5-1,A427,'NSE Holidays'!$A$5:$A$64))</f>
        <v/>
      </c>
      <c r="C427" s="22" t="str">
        <f aca="false">IF(C426="","",IF(OR(IF(ISNUMBER(G426),H426,F426)&gt;=$C$7,IF(ISNUMBER(G426),H426,F426)&lt;=0),"",IF(ISNUMBER(G426),H426,F426)))</f>
        <v/>
      </c>
      <c r="D427" s="22" t="str">
        <f aca="false">IF(C427="","",ROUND(C427*$C$8,2))</f>
        <v/>
      </c>
      <c r="E427" s="22" t="str">
        <f aca="false">IF(C427="","",ROUND(C427*$C$9,2))</f>
        <v/>
      </c>
      <c r="F427" s="22" t="str">
        <f aca="false">IF(C427="","",C427+D427)</f>
        <v/>
      </c>
      <c r="G427" s="23" t="str">
        <f aca="false">IF(OR(C427="",NOT(ISNUMBER(H427))),"",ROUND(H427-C427,2))</f>
        <v/>
      </c>
      <c r="H427" s="24"/>
      <c r="I427" s="25" t="str">
        <f aca="false">IF(C427="","",IF(ISNUMBER(G427),IF(G427&lt;-E427,"Actual – Loss (limit breached)",IF(G427&lt;0,"Actual – Loss",IF(G427&gt;0,"Actual – Profit","Actual – No trade"))),"Projection"))</f>
        <v/>
      </c>
      <c r="J427" s="26"/>
      <c r="K427" s="27"/>
    </row>
    <row r="428" customFormat="false" ht="15" hidden="false" customHeight="false" outlineLevel="0" collapsed="false">
      <c r="A428" s="20" t="str">
        <f aca="false">IF(C428="","",ROW()-12)</f>
        <v/>
      </c>
      <c r="B428" s="21" t="str">
        <f aca="false">IF(C428="","",WORKDAY($C$5-1,A428,'NSE Holidays'!$A$5:$A$64))</f>
        <v/>
      </c>
      <c r="C428" s="22" t="str">
        <f aca="false">IF(C427="","",IF(OR(IF(ISNUMBER(G427),H427,F427)&gt;=$C$7,IF(ISNUMBER(G427),H427,F427)&lt;=0),"",IF(ISNUMBER(G427),H427,F427)))</f>
        <v/>
      </c>
      <c r="D428" s="22" t="str">
        <f aca="false">IF(C428="","",ROUND(C428*$C$8,2))</f>
        <v/>
      </c>
      <c r="E428" s="22" t="str">
        <f aca="false">IF(C428="","",ROUND(C428*$C$9,2))</f>
        <v/>
      </c>
      <c r="F428" s="22" t="str">
        <f aca="false">IF(C428="","",C428+D428)</f>
        <v/>
      </c>
      <c r="G428" s="23" t="str">
        <f aca="false">IF(OR(C428="",NOT(ISNUMBER(H428))),"",ROUND(H428-C428,2))</f>
        <v/>
      </c>
      <c r="H428" s="24"/>
      <c r="I428" s="25" t="str">
        <f aca="false">IF(C428="","",IF(ISNUMBER(G428),IF(G428&lt;-E428,"Actual – Loss (limit breached)",IF(G428&lt;0,"Actual – Loss",IF(G428&gt;0,"Actual – Profit","Actual – No trade"))),"Projection"))</f>
        <v/>
      </c>
      <c r="J428" s="26"/>
      <c r="K428" s="27"/>
    </row>
    <row r="429" customFormat="false" ht="15" hidden="false" customHeight="false" outlineLevel="0" collapsed="false">
      <c r="A429" s="20" t="str">
        <f aca="false">IF(C429="","",ROW()-12)</f>
        <v/>
      </c>
      <c r="B429" s="21" t="str">
        <f aca="false">IF(C429="","",WORKDAY($C$5-1,A429,'NSE Holidays'!$A$5:$A$64))</f>
        <v/>
      </c>
      <c r="C429" s="22" t="str">
        <f aca="false">IF(C428="","",IF(OR(IF(ISNUMBER(G428),H428,F428)&gt;=$C$7,IF(ISNUMBER(G428),H428,F428)&lt;=0),"",IF(ISNUMBER(G428),H428,F428)))</f>
        <v/>
      </c>
      <c r="D429" s="22" t="str">
        <f aca="false">IF(C429="","",ROUND(C429*$C$8,2))</f>
        <v/>
      </c>
      <c r="E429" s="22" t="str">
        <f aca="false">IF(C429="","",ROUND(C429*$C$9,2))</f>
        <v/>
      </c>
      <c r="F429" s="22" t="str">
        <f aca="false">IF(C429="","",C429+D429)</f>
        <v/>
      </c>
      <c r="G429" s="23" t="str">
        <f aca="false">IF(OR(C429="",NOT(ISNUMBER(H429))),"",ROUND(H429-C429,2))</f>
        <v/>
      </c>
      <c r="H429" s="24"/>
      <c r="I429" s="25" t="str">
        <f aca="false">IF(C429="","",IF(ISNUMBER(G429),IF(G429&lt;-E429,"Actual – Loss (limit breached)",IF(G429&lt;0,"Actual – Loss",IF(G429&gt;0,"Actual – Profit","Actual – No trade"))),"Projection"))</f>
        <v/>
      </c>
      <c r="J429" s="26"/>
      <c r="K429" s="27"/>
    </row>
    <row r="430" customFormat="false" ht="15" hidden="false" customHeight="false" outlineLevel="0" collapsed="false">
      <c r="A430" s="20" t="str">
        <f aca="false">IF(C430="","",ROW()-12)</f>
        <v/>
      </c>
      <c r="B430" s="21" t="str">
        <f aca="false">IF(C430="","",WORKDAY($C$5-1,A430,'NSE Holidays'!$A$5:$A$64))</f>
        <v/>
      </c>
      <c r="C430" s="22" t="str">
        <f aca="false">IF(C429="","",IF(OR(IF(ISNUMBER(G429),H429,F429)&gt;=$C$7,IF(ISNUMBER(G429),H429,F429)&lt;=0),"",IF(ISNUMBER(G429),H429,F429)))</f>
        <v/>
      </c>
      <c r="D430" s="22" t="str">
        <f aca="false">IF(C430="","",ROUND(C430*$C$8,2))</f>
        <v/>
      </c>
      <c r="E430" s="22" t="str">
        <f aca="false">IF(C430="","",ROUND(C430*$C$9,2))</f>
        <v/>
      </c>
      <c r="F430" s="22" t="str">
        <f aca="false">IF(C430="","",C430+D430)</f>
        <v/>
      </c>
      <c r="G430" s="23" t="str">
        <f aca="false">IF(OR(C430="",NOT(ISNUMBER(H430))),"",ROUND(H430-C430,2))</f>
        <v/>
      </c>
      <c r="H430" s="24"/>
      <c r="I430" s="25" t="str">
        <f aca="false">IF(C430="","",IF(ISNUMBER(G430),IF(G430&lt;-E430,"Actual – Loss (limit breached)",IF(G430&lt;0,"Actual – Loss",IF(G430&gt;0,"Actual – Profit","Actual – No trade"))),"Projection"))</f>
        <v/>
      </c>
      <c r="J430" s="26"/>
      <c r="K430" s="27"/>
    </row>
    <row r="431" customFormat="false" ht="15" hidden="false" customHeight="false" outlineLevel="0" collapsed="false">
      <c r="A431" s="20" t="str">
        <f aca="false">IF(C431="","",ROW()-12)</f>
        <v/>
      </c>
      <c r="B431" s="21" t="str">
        <f aca="false">IF(C431="","",WORKDAY($C$5-1,A431,'NSE Holidays'!$A$5:$A$64))</f>
        <v/>
      </c>
      <c r="C431" s="22" t="str">
        <f aca="false">IF(C430="","",IF(OR(IF(ISNUMBER(G430),H430,F430)&gt;=$C$7,IF(ISNUMBER(G430),H430,F430)&lt;=0),"",IF(ISNUMBER(G430),H430,F430)))</f>
        <v/>
      </c>
      <c r="D431" s="22" t="str">
        <f aca="false">IF(C431="","",ROUND(C431*$C$8,2))</f>
        <v/>
      </c>
      <c r="E431" s="22" t="str">
        <f aca="false">IF(C431="","",ROUND(C431*$C$9,2))</f>
        <v/>
      </c>
      <c r="F431" s="22" t="str">
        <f aca="false">IF(C431="","",C431+D431)</f>
        <v/>
      </c>
      <c r="G431" s="23" t="str">
        <f aca="false">IF(OR(C431="",NOT(ISNUMBER(H431))),"",ROUND(H431-C431,2))</f>
        <v/>
      </c>
      <c r="H431" s="24"/>
      <c r="I431" s="25" t="str">
        <f aca="false">IF(C431="","",IF(ISNUMBER(G431),IF(G431&lt;-E431,"Actual – Loss (limit breached)",IF(G431&lt;0,"Actual – Loss",IF(G431&gt;0,"Actual – Profit","Actual – No trade"))),"Projection"))</f>
        <v/>
      </c>
      <c r="J431" s="26"/>
      <c r="K431" s="27"/>
    </row>
    <row r="432" customFormat="false" ht="15" hidden="false" customHeight="false" outlineLevel="0" collapsed="false">
      <c r="A432" s="20" t="str">
        <f aca="false">IF(C432="","",ROW()-12)</f>
        <v/>
      </c>
      <c r="B432" s="21" t="str">
        <f aca="false">IF(C432="","",WORKDAY($C$5-1,A432,'NSE Holidays'!$A$5:$A$64))</f>
        <v/>
      </c>
      <c r="C432" s="22" t="str">
        <f aca="false">IF(C431="","",IF(OR(IF(ISNUMBER(G431),H431,F431)&gt;=$C$7,IF(ISNUMBER(G431),H431,F431)&lt;=0),"",IF(ISNUMBER(G431),H431,F431)))</f>
        <v/>
      </c>
      <c r="D432" s="22" t="str">
        <f aca="false">IF(C432="","",ROUND(C432*$C$8,2))</f>
        <v/>
      </c>
      <c r="E432" s="22" t="str">
        <f aca="false">IF(C432="","",ROUND(C432*$C$9,2))</f>
        <v/>
      </c>
      <c r="F432" s="22" t="str">
        <f aca="false">IF(C432="","",C432+D432)</f>
        <v/>
      </c>
      <c r="G432" s="23" t="str">
        <f aca="false">IF(OR(C432="",NOT(ISNUMBER(H432))),"",ROUND(H432-C432,2))</f>
        <v/>
      </c>
      <c r="H432" s="24"/>
      <c r="I432" s="25" t="str">
        <f aca="false">IF(C432="","",IF(ISNUMBER(G432),IF(G432&lt;-E432,"Actual – Loss (limit breached)",IF(G432&lt;0,"Actual – Loss",IF(G432&gt;0,"Actual – Profit","Actual – No trade"))),"Projection"))</f>
        <v/>
      </c>
      <c r="J432" s="26"/>
      <c r="K432" s="27"/>
    </row>
    <row r="433" customFormat="false" ht="15" hidden="false" customHeight="false" outlineLevel="0" collapsed="false">
      <c r="A433" s="20" t="str">
        <f aca="false">IF(C433="","",ROW()-12)</f>
        <v/>
      </c>
      <c r="B433" s="21" t="str">
        <f aca="false">IF(C433="","",WORKDAY($C$5-1,A433,'NSE Holidays'!$A$5:$A$64))</f>
        <v/>
      </c>
      <c r="C433" s="22" t="str">
        <f aca="false">IF(C432="","",IF(OR(IF(ISNUMBER(G432),H432,F432)&gt;=$C$7,IF(ISNUMBER(G432),H432,F432)&lt;=0),"",IF(ISNUMBER(G432),H432,F432)))</f>
        <v/>
      </c>
      <c r="D433" s="22" t="str">
        <f aca="false">IF(C433="","",ROUND(C433*$C$8,2))</f>
        <v/>
      </c>
      <c r="E433" s="22" t="str">
        <f aca="false">IF(C433="","",ROUND(C433*$C$9,2))</f>
        <v/>
      </c>
      <c r="F433" s="22" t="str">
        <f aca="false">IF(C433="","",C433+D433)</f>
        <v/>
      </c>
      <c r="G433" s="23" t="str">
        <f aca="false">IF(OR(C433="",NOT(ISNUMBER(H433))),"",ROUND(H433-C433,2))</f>
        <v/>
      </c>
      <c r="H433" s="24"/>
      <c r="I433" s="25" t="str">
        <f aca="false">IF(C433="","",IF(ISNUMBER(G433),IF(G433&lt;-E433,"Actual – Loss (limit breached)",IF(G433&lt;0,"Actual – Loss",IF(G433&gt;0,"Actual – Profit","Actual – No trade"))),"Projection"))</f>
        <v/>
      </c>
      <c r="J433" s="26"/>
      <c r="K433" s="27"/>
    </row>
    <row r="434" customFormat="false" ht="15" hidden="false" customHeight="false" outlineLevel="0" collapsed="false">
      <c r="A434" s="20" t="str">
        <f aca="false">IF(C434="","",ROW()-12)</f>
        <v/>
      </c>
      <c r="B434" s="21" t="str">
        <f aca="false">IF(C434="","",WORKDAY($C$5-1,A434,'NSE Holidays'!$A$5:$A$64))</f>
        <v/>
      </c>
      <c r="C434" s="22" t="str">
        <f aca="false">IF(C433="","",IF(OR(IF(ISNUMBER(G433),H433,F433)&gt;=$C$7,IF(ISNUMBER(G433),H433,F433)&lt;=0),"",IF(ISNUMBER(G433),H433,F433)))</f>
        <v/>
      </c>
      <c r="D434" s="22" t="str">
        <f aca="false">IF(C434="","",ROUND(C434*$C$8,2))</f>
        <v/>
      </c>
      <c r="E434" s="22" t="str">
        <f aca="false">IF(C434="","",ROUND(C434*$C$9,2))</f>
        <v/>
      </c>
      <c r="F434" s="22" t="str">
        <f aca="false">IF(C434="","",C434+D434)</f>
        <v/>
      </c>
      <c r="G434" s="23" t="str">
        <f aca="false">IF(OR(C434="",NOT(ISNUMBER(H434))),"",ROUND(H434-C434,2))</f>
        <v/>
      </c>
      <c r="H434" s="24"/>
      <c r="I434" s="25" t="str">
        <f aca="false">IF(C434="","",IF(ISNUMBER(G434),IF(G434&lt;-E434,"Actual – Loss (limit breached)",IF(G434&lt;0,"Actual – Loss",IF(G434&gt;0,"Actual – Profit","Actual – No trade"))),"Projection"))</f>
        <v/>
      </c>
      <c r="J434" s="26"/>
      <c r="K434" s="27"/>
    </row>
    <row r="435" customFormat="false" ht="15" hidden="false" customHeight="false" outlineLevel="0" collapsed="false">
      <c r="A435" s="20" t="str">
        <f aca="false">IF(C435="","",ROW()-12)</f>
        <v/>
      </c>
      <c r="B435" s="21" t="str">
        <f aca="false">IF(C435="","",WORKDAY($C$5-1,A435,'NSE Holidays'!$A$5:$A$64))</f>
        <v/>
      </c>
      <c r="C435" s="22" t="str">
        <f aca="false">IF(C434="","",IF(OR(IF(ISNUMBER(G434),H434,F434)&gt;=$C$7,IF(ISNUMBER(G434),H434,F434)&lt;=0),"",IF(ISNUMBER(G434),H434,F434)))</f>
        <v/>
      </c>
      <c r="D435" s="22" t="str">
        <f aca="false">IF(C435="","",ROUND(C435*$C$8,2))</f>
        <v/>
      </c>
      <c r="E435" s="22" t="str">
        <f aca="false">IF(C435="","",ROUND(C435*$C$9,2))</f>
        <v/>
      </c>
      <c r="F435" s="22" t="str">
        <f aca="false">IF(C435="","",C435+D435)</f>
        <v/>
      </c>
      <c r="G435" s="23" t="str">
        <f aca="false">IF(OR(C435="",NOT(ISNUMBER(H435))),"",ROUND(H435-C435,2))</f>
        <v/>
      </c>
      <c r="H435" s="24"/>
      <c r="I435" s="25" t="str">
        <f aca="false">IF(C435="","",IF(ISNUMBER(G435),IF(G435&lt;-E435,"Actual – Loss (limit breached)",IF(G435&lt;0,"Actual – Loss",IF(G435&gt;0,"Actual – Profit","Actual – No trade"))),"Projection"))</f>
        <v/>
      </c>
      <c r="J435" s="26"/>
      <c r="K435" s="27"/>
    </row>
    <row r="436" customFormat="false" ht="15" hidden="false" customHeight="false" outlineLevel="0" collapsed="false">
      <c r="A436" s="20" t="str">
        <f aca="false">IF(C436="","",ROW()-12)</f>
        <v/>
      </c>
      <c r="B436" s="21" t="str">
        <f aca="false">IF(C436="","",WORKDAY($C$5-1,A436,'NSE Holidays'!$A$5:$A$64))</f>
        <v/>
      </c>
      <c r="C436" s="22" t="str">
        <f aca="false">IF(C435="","",IF(OR(IF(ISNUMBER(G435),H435,F435)&gt;=$C$7,IF(ISNUMBER(G435),H435,F435)&lt;=0),"",IF(ISNUMBER(G435),H435,F435)))</f>
        <v/>
      </c>
      <c r="D436" s="22" t="str">
        <f aca="false">IF(C436="","",ROUND(C436*$C$8,2))</f>
        <v/>
      </c>
      <c r="E436" s="22" t="str">
        <f aca="false">IF(C436="","",ROUND(C436*$C$9,2))</f>
        <v/>
      </c>
      <c r="F436" s="22" t="str">
        <f aca="false">IF(C436="","",C436+D436)</f>
        <v/>
      </c>
      <c r="G436" s="23" t="str">
        <f aca="false">IF(OR(C436="",NOT(ISNUMBER(H436))),"",ROUND(H436-C436,2))</f>
        <v/>
      </c>
      <c r="H436" s="24"/>
      <c r="I436" s="25" t="str">
        <f aca="false">IF(C436="","",IF(ISNUMBER(G436),IF(G436&lt;-E436,"Actual – Loss (limit breached)",IF(G436&lt;0,"Actual – Loss",IF(G436&gt;0,"Actual – Profit","Actual – No trade"))),"Projection"))</f>
        <v/>
      </c>
      <c r="J436" s="26"/>
      <c r="K436" s="27"/>
    </row>
    <row r="437" customFormat="false" ht="15" hidden="false" customHeight="false" outlineLevel="0" collapsed="false">
      <c r="A437" s="20" t="str">
        <f aca="false">IF(C437="","",ROW()-12)</f>
        <v/>
      </c>
      <c r="B437" s="21" t="str">
        <f aca="false">IF(C437="","",WORKDAY($C$5-1,A437,'NSE Holidays'!$A$5:$A$64))</f>
        <v/>
      </c>
      <c r="C437" s="22" t="str">
        <f aca="false">IF(C436="","",IF(OR(IF(ISNUMBER(G436),H436,F436)&gt;=$C$7,IF(ISNUMBER(G436),H436,F436)&lt;=0),"",IF(ISNUMBER(G436),H436,F436)))</f>
        <v/>
      </c>
      <c r="D437" s="22" t="str">
        <f aca="false">IF(C437="","",ROUND(C437*$C$8,2))</f>
        <v/>
      </c>
      <c r="E437" s="22" t="str">
        <f aca="false">IF(C437="","",ROUND(C437*$C$9,2))</f>
        <v/>
      </c>
      <c r="F437" s="22" t="str">
        <f aca="false">IF(C437="","",C437+D437)</f>
        <v/>
      </c>
      <c r="G437" s="23" t="str">
        <f aca="false">IF(OR(C437="",NOT(ISNUMBER(H437))),"",ROUND(H437-C437,2))</f>
        <v/>
      </c>
      <c r="H437" s="24"/>
      <c r="I437" s="25" t="str">
        <f aca="false">IF(C437="","",IF(ISNUMBER(G437),IF(G437&lt;-E437,"Actual – Loss (limit breached)",IF(G437&lt;0,"Actual – Loss",IF(G437&gt;0,"Actual – Profit","Actual – No trade"))),"Projection"))</f>
        <v/>
      </c>
      <c r="J437" s="26"/>
      <c r="K437" s="27"/>
    </row>
    <row r="438" customFormat="false" ht="15" hidden="false" customHeight="false" outlineLevel="0" collapsed="false">
      <c r="A438" s="20" t="str">
        <f aca="false">IF(C438="","",ROW()-12)</f>
        <v/>
      </c>
      <c r="B438" s="21" t="str">
        <f aca="false">IF(C438="","",WORKDAY($C$5-1,A438,'NSE Holidays'!$A$5:$A$64))</f>
        <v/>
      </c>
      <c r="C438" s="22" t="str">
        <f aca="false">IF(C437="","",IF(OR(IF(ISNUMBER(G437),H437,F437)&gt;=$C$7,IF(ISNUMBER(G437),H437,F437)&lt;=0),"",IF(ISNUMBER(G437),H437,F437)))</f>
        <v/>
      </c>
      <c r="D438" s="22" t="str">
        <f aca="false">IF(C438="","",ROUND(C438*$C$8,2))</f>
        <v/>
      </c>
      <c r="E438" s="22" t="str">
        <f aca="false">IF(C438="","",ROUND(C438*$C$9,2))</f>
        <v/>
      </c>
      <c r="F438" s="22" t="str">
        <f aca="false">IF(C438="","",C438+D438)</f>
        <v/>
      </c>
      <c r="G438" s="23" t="str">
        <f aca="false">IF(OR(C438="",NOT(ISNUMBER(H438))),"",ROUND(H438-C438,2))</f>
        <v/>
      </c>
      <c r="H438" s="24"/>
      <c r="I438" s="25" t="str">
        <f aca="false">IF(C438="","",IF(ISNUMBER(G438),IF(G438&lt;-E438,"Actual – Loss (limit breached)",IF(G438&lt;0,"Actual – Loss",IF(G438&gt;0,"Actual – Profit","Actual – No trade"))),"Projection"))</f>
        <v/>
      </c>
      <c r="J438" s="26"/>
      <c r="K438" s="27"/>
    </row>
    <row r="439" customFormat="false" ht="15" hidden="false" customHeight="false" outlineLevel="0" collapsed="false">
      <c r="A439" s="20" t="str">
        <f aca="false">IF(C439="","",ROW()-12)</f>
        <v/>
      </c>
      <c r="B439" s="21" t="str">
        <f aca="false">IF(C439="","",WORKDAY($C$5-1,A439,'NSE Holidays'!$A$5:$A$64))</f>
        <v/>
      </c>
      <c r="C439" s="22" t="str">
        <f aca="false">IF(C438="","",IF(OR(IF(ISNUMBER(G438),H438,F438)&gt;=$C$7,IF(ISNUMBER(G438),H438,F438)&lt;=0),"",IF(ISNUMBER(G438),H438,F438)))</f>
        <v/>
      </c>
      <c r="D439" s="22" t="str">
        <f aca="false">IF(C439="","",ROUND(C439*$C$8,2))</f>
        <v/>
      </c>
      <c r="E439" s="22" t="str">
        <f aca="false">IF(C439="","",ROUND(C439*$C$9,2))</f>
        <v/>
      </c>
      <c r="F439" s="22" t="str">
        <f aca="false">IF(C439="","",C439+D439)</f>
        <v/>
      </c>
      <c r="G439" s="23" t="str">
        <f aca="false">IF(OR(C439="",NOT(ISNUMBER(H439))),"",ROUND(H439-C439,2))</f>
        <v/>
      </c>
      <c r="H439" s="24"/>
      <c r="I439" s="25" t="str">
        <f aca="false">IF(C439="","",IF(ISNUMBER(G439),IF(G439&lt;-E439,"Actual – Loss (limit breached)",IF(G439&lt;0,"Actual – Loss",IF(G439&gt;0,"Actual – Profit","Actual – No trade"))),"Projection"))</f>
        <v/>
      </c>
      <c r="J439" s="26"/>
      <c r="K439" s="27"/>
    </row>
    <row r="440" customFormat="false" ht="15" hidden="false" customHeight="false" outlineLevel="0" collapsed="false">
      <c r="A440" s="20" t="str">
        <f aca="false">IF(C440="","",ROW()-12)</f>
        <v/>
      </c>
      <c r="B440" s="21" t="str">
        <f aca="false">IF(C440="","",WORKDAY($C$5-1,A440,'NSE Holidays'!$A$5:$A$64))</f>
        <v/>
      </c>
      <c r="C440" s="22" t="str">
        <f aca="false">IF(C439="","",IF(OR(IF(ISNUMBER(G439),H439,F439)&gt;=$C$7,IF(ISNUMBER(G439),H439,F439)&lt;=0),"",IF(ISNUMBER(G439),H439,F439)))</f>
        <v/>
      </c>
      <c r="D440" s="22" t="str">
        <f aca="false">IF(C440="","",ROUND(C440*$C$8,2))</f>
        <v/>
      </c>
      <c r="E440" s="22" t="str">
        <f aca="false">IF(C440="","",ROUND(C440*$C$9,2))</f>
        <v/>
      </c>
      <c r="F440" s="22" t="str">
        <f aca="false">IF(C440="","",C440+D440)</f>
        <v/>
      </c>
      <c r="G440" s="23" t="str">
        <f aca="false">IF(OR(C440="",NOT(ISNUMBER(H440))),"",ROUND(H440-C440,2))</f>
        <v/>
      </c>
      <c r="H440" s="24"/>
      <c r="I440" s="25" t="str">
        <f aca="false">IF(C440="","",IF(ISNUMBER(G440),IF(G440&lt;-E440,"Actual – Loss (limit breached)",IF(G440&lt;0,"Actual – Loss",IF(G440&gt;0,"Actual – Profit","Actual – No trade"))),"Projection"))</f>
        <v/>
      </c>
      <c r="J440" s="26"/>
      <c r="K440" s="27"/>
    </row>
    <row r="441" customFormat="false" ht="15" hidden="false" customHeight="false" outlineLevel="0" collapsed="false">
      <c r="A441" s="20" t="str">
        <f aca="false">IF(C441="","",ROW()-12)</f>
        <v/>
      </c>
      <c r="B441" s="21" t="str">
        <f aca="false">IF(C441="","",WORKDAY($C$5-1,A441,'NSE Holidays'!$A$5:$A$64))</f>
        <v/>
      </c>
      <c r="C441" s="22" t="str">
        <f aca="false">IF(C440="","",IF(OR(IF(ISNUMBER(G440),H440,F440)&gt;=$C$7,IF(ISNUMBER(G440),H440,F440)&lt;=0),"",IF(ISNUMBER(G440),H440,F440)))</f>
        <v/>
      </c>
      <c r="D441" s="22" t="str">
        <f aca="false">IF(C441="","",ROUND(C441*$C$8,2))</f>
        <v/>
      </c>
      <c r="E441" s="22" t="str">
        <f aca="false">IF(C441="","",ROUND(C441*$C$9,2))</f>
        <v/>
      </c>
      <c r="F441" s="22" t="str">
        <f aca="false">IF(C441="","",C441+D441)</f>
        <v/>
      </c>
      <c r="G441" s="23" t="str">
        <f aca="false">IF(OR(C441="",NOT(ISNUMBER(H441))),"",ROUND(H441-C441,2))</f>
        <v/>
      </c>
      <c r="H441" s="24"/>
      <c r="I441" s="25" t="str">
        <f aca="false">IF(C441="","",IF(ISNUMBER(G441),IF(G441&lt;-E441,"Actual – Loss (limit breached)",IF(G441&lt;0,"Actual – Loss",IF(G441&gt;0,"Actual – Profit","Actual – No trade"))),"Projection"))</f>
        <v/>
      </c>
      <c r="J441" s="26"/>
      <c r="K441" s="27"/>
    </row>
    <row r="442" customFormat="false" ht="15" hidden="false" customHeight="false" outlineLevel="0" collapsed="false">
      <c r="A442" s="20" t="str">
        <f aca="false">IF(C442="","",ROW()-12)</f>
        <v/>
      </c>
      <c r="B442" s="21" t="str">
        <f aca="false">IF(C442="","",WORKDAY($C$5-1,A442,'NSE Holidays'!$A$5:$A$64))</f>
        <v/>
      </c>
      <c r="C442" s="22" t="str">
        <f aca="false">IF(C441="","",IF(OR(IF(ISNUMBER(G441),H441,F441)&gt;=$C$7,IF(ISNUMBER(G441),H441,F441)&lt;=0),"",IF(ISNUMBER(G441),H441,F441)))</f>
        <v/>
      </c>
      <c r="D442" s="22" t="str">
        <f aca="false">IF(C442="","",ROUND(C442*$C$8,2))</f>
        <v/>
      </c>
      <c r="E442" s="22" t="str">
        <f aca="false">IF(C442="","",ROUND(C442*$C$9,2))</f>
        <v/>
      </c>
      <c r="F442" s="22" t="str">
        <f aca="false">IF(C442="","",C442+D442)</f>
        <v/>
      </c>
      <c r="G442" s="23" t="str">
        <f aca="false">IF(OR(C442="",NOT(ISNUMBER(H442))),"",ROUND(H442-C442,2))</f>
        <v/>
      </c>
      <c r="H442" s="24"/>
      <c r="I442" s="25" t="str">
        <f aca="false">IF(C442="","",IF(ISNUMBER(G442),IF(G442&lt;-E442,"Actual – Loss (limit breached)",IF(G442&lt;0,"Actual – Loss",IF(G442&gt;0,"Actual – Profit","Actual – No trade"))),"Projection"))</f>
        <v/>
      </c>
      <c r="J442" s="26"/>
      <c r="K442" s="27"/>
    </row>
    <row r="443" customFormat="false" ht="15" hidden="false" customHeight="false" outlineLevel="0" collapsed="false">
      <c r="A443" s="20" t="str">
        <f aca="false">IF(C443="","",ROW()-12)</f>
        <v/>
      </c>
      <c r="B443" s="21" t="str">
        <f aca="false">IF(C443="","",WORKDAY($C$5-1,A443,'NSE Holidays'!$A$5:$A$64))</f>
        <v/>
      </c>
      <c r="C443" s="22" t="str">
        <f aca="false">IF(C442="","",IF(OR(IF(ISNUMBER(G442),H442,F442)&gt;=$C$7,IF(ISNUMBER(G442),H442,F442)&lt;=0),"",IF(ISNUMBER(G442),H442,F442)))</f>
        <v/>
      </c>
      <c r="D443" s="22" t="str">
        <f aca="false">IF(C443="","",ROUND(C443*$C$8,2))</f>
        <v/>
      </c>
      <c r="E443" s="22" t="str">
        <f aca="false">IF(C443="","",ROUND(C443*$C$9,2))</f>
        <v/>
      </c>
      <c r="F443" s="22" t="str">
        <f aca="false">IF(C443="","",C443+D443)</f>
        <v/>
      </c>
      <c r="G443" s="23" t="str">
        <f aca="false">IF(OR(C443="",NOT(ISNUMBER(H443))),"",ROUND(H443-C443,2))</f>
        <v/>
      </c>
      <c r="H443" s="24"/>
      <c r="I443" s="25" t="str">
        <f aca="false">IF(C443="","",IF(ISNUMBER(G443),IF(G443&lt;-E443,"Actual – Loss (limit breached)",IF(G443&lt;0,"Actual – Loss",IF(G443&gt;0,"Actual – Profit","Actual – No trade"))),"Projection"))</f>
        <v/>
      </c>
      <c r="J443" s="26"/>
      <c r="K443" s="27"/>
    </row>
    <row r="444" customFormat="false" ht="15" hidden="false" customHeight="false" outlineLevel="0" collapsed="false">
      <c r="A444" s="20" t="str">
        <f aca="false">IF(C444="","",ROW()-12)</f>
        <v/>
      </c>
      <c r="B444" s="21" t="str">
        <f aca="false">IF(C444="","",WORKDAY($C$5-1,A444,'NSE Holidays'!$A$5:$A$64))</f>
        <v/>
      </c>
      <c r="C444" s="22" t="str">
        <f aca="false">IF(C443="","",IF(OR(IF(ISNUMBER(G443),H443,F443)&gt;=$C$7,IF(ISNUMBER(G443),H443,F443)&lt;=0),"",IF(ISNUMBER(G443),H443,F443)))</f>
        <v/>
      </c>
      <c r="D444" s="22" t="str">
        <f aca="false">IF(C444="","",ROUND(C444*$C$8,2))</f>
        <v/>
      </c>
      <c r="E444" s="22" t="str">
        <f aca="false">IF(C444="","",ROUND(C444*$C$9,2))</f>
        <v/>
      </c>
      <c r="F444" s="22" t="str">
        <f aca="false">IF(C444="","",C444+D444)</f>
        <v/>
      </c>
      <c r="G444" s="23" t="str">
        <f aca="false">IF(OR(C444="",NOT(ISNUMBER(H444))),"",ROUND(H444-C444,2))</f>
        <v/>
      </c>
      <c r="H444" s="24"/>
      <c r="I444" s="25" t="str">
        <f aca="false">IF(C444="","",IF(ISNUMBER(G444),IF(G444&lt;-E444,"Actual – Loss (limit breached)",IF(G444&lt;0,"Actual – Loss",IF(G444&gt;0,"Actual – Profit","Actual – No trade"))),"Projection"))</f>
        <v/>
      </c>
      <c r="J444" s="26"/>
      <c r="K444" s="27"/>
    </row>
    <row r="445" customFormat="false" ht="15" hidden="false" customHeight="false" outlineLevel="0" collapsed="false">
      <c r="A445" s="20" t="str">
        <f aca="false">IF(C445="","",ROW()-12)</f>
        <v/>
      </c>
      <c r="B445" s="21" t="str">
        <f aca="false">IF(C445="","",WORKDAY($C$5-1,A445,'NSE Holidays'!$A$5:$A$64))</f>
        <v/>
      </c>
      <c r="C445" s="22" t="str">
        <f aca="false">IF(C444="","",IF(OR(IF(ISNUMBER(G444),H444,F444)&gt;=$C$7,IF(ISNUMBER(G444),H444,F444)&lt;=0),"",IF(ISNUMBER(G444),H444,F444)))</f>
        <v/>
      </c>
      <c r="D445" s="22" t="str">
        <f aca="false">IF(C445="","",ROUND(C445*$C$8,2))</f>
        <v/>
      </c>
      <c r="E445" s="22" t="str">
        <f aca="false">IF(C445="","",ROUND(C445*$C$9,2))</f>
        <v/>
      </c>
      <c r="F445" s="22" t="str">
        <f aca="false">IF(C445="","",C445+D445)</f>
        <v/>
      </c>
      <c r="G445" s="23" t="str">
        <f aca="false">IF(OR(C445="",NOT(ISNUMBER(H445))),"",ROUND(H445-C445,2))</f>
        <v/>
      </c>
      <c r="H445" s="24"/>
      <c r="I445" s="25" t="str">
        <f aca="false">IF(C445="","",IF(ISNUMBER(G445),IF(G445&lt;-E445,"Actual – Loss (limit breached)",IF(G445&lt;0,"Actual – Loss",IF(G445&gt;0,"Actual – Profit","Actual – No trade"))),"Projection"))</f>
        <v/>
      </c>
      <c r="J445" s="26"/>
      <c r="K445" s="27"/>
    </row>
    <row r="446" customFormat="false" ht="15" hidden="false" customHeight="false" outlineLevel="0" collapsed="false">
      <c r="A446" s="20" t="str">
        <f aca="false">IF(C446="","",ROW()-12)</f>
        <v/>
      </c>
      <c r="B446" s="21" t="str">
        <f aca="false">IF(C446="","",WORKDAY($C$5-1,A446,'NSE Holidays'!$A$5:$A$64))</f>
        <v/>
      </c>
      <c r="C446" s="22" t="str">
        <f aca="false">IF(C445="","",IF(OR(IF(ISNUMBER(G445),H445,F445)&gt;=$C$7,IF(ISNUMBER(G445),H445,F445)&lt;=0),"",IF(ISNUMBER(G445),H445,F445)))</f>
        <v/>
      </c>
      <c r="D446" s="22" t="str">
        <f aca="false">IF(C446="","",ROUND(C446*$C$8,2))</f>
        <v/>
      </c>
      <c r="E446" s="22" t="str">
        <f aca="false">IF(C446="","",ROUND(C446*$C$9,2))</f>
        <v/>
      </c>
      <c r="F446" s="22" t="str">
        <f aca="false">IF(C446="","",C446+D446)</f>
        <v/>
      </c>
      <c r="G446" s="23" t="str">
        <f aca="false">IF(OR(C446="",NOT(ISNUMBER(H446))),"",ROUND(H446-C446,2))</f>
        <v/>
      </c>
      <c r="H446" s="24"/>
      <c r="I446" s="25" t="str">
        <f aca="false">IF(C446="","",IF(ISNUMBER(G446),IF(G446&lt;-E446,"Actual – Loss (limit breached)",IF(G446&lt;0,"Actual – Loss",IF(G446&gt;0,"Actual – Profit","Actual – No trade"))),"Projection"))</f>
        <v/>
      </c>
      <c r="J446" s="26"/>
      <c r="K446" s="27"/>
    </row>
    <row r="447" customFormat="false" ht="15" hidden="false" customHeight="false" outlineLevel="0" collapsed="false">
      <c r="A447" s="20" t="str">
        <f aca="false">IF(C447="","",ROW()-12)</f>
        <v/>
      </c>
      <c r="B447" s="21" t="str">
        <f aca="false">IF(C447="","",WORKDAY($C$5-1,A447,'NSE Holidays'!$A$5:$A$64))</f>
        <v/>
      </c>
      <c r="C447" s="22" t="str">
        <f aca="false">IF(C446="","",IF(OR(IF(ISNUMBER(G446),H446,F446)&gt;=$C$7,IF(ISNUMBER(G446),H446,F446)&lt;=0),"",IF(ISNUMBER(G446),H446,F446)))</f>
        <v/>
      </c>
      <c r="D447" s="22" t="str">
        <f aca="false">IF(C447="","",ROUND(C447*$C$8,2))</f>
        <v/>
      </c>
      <c r="E447" s="22" t="str">
        <f aca="false">IF(C447="","",ROUND(C447*$C$9,2))</f>
        <v/>
      </c>
      <c r="F447" s="22" t="str">
        <f aca="false">IF(C447="","",C447+D447)</f>
        <v/>
      </c>
      <c r="G447" s="23" t="str">
        <f aca="false">IF(OR(C447="",NOT(ISNUMBER(H447))),"",ROUND(H447-C447,2))</f>
        <v/>
      </c>
      <c r="H447" s="24"/>
      <c r="I447" s="25" t="str">
        <f aca="false">IF(C447="","",IF(ISNUMBER(G447),IF(G447&lt;-E447,"Actual – Loss (limit breached)",IF(G447&lt;0,"Actual – Loss",IF(G447&gt;0,"Actual – Profit","Actual – No trade"))),"Projection"))</f>
        <v/>
      </c>
      <c r="J447" s="26"/>
      <c r="K447" s="27"/>
    </row>
    <row r="448" customFormat="false" ht="15" hidden="false" customHeight="false" outlineLevel="0" collapsed="false">
      <c r="A448" s="20" t="str">
        <f aca="false">IF(C448="","",ROW()-12)</f>
        <v/>
      </c>
      <c r="B448" s="21" t="str">
        <f aca="false">IF(C448="","",WORKDAY($C$5-1,A448,'NSE Holidays'!$A$5:$A$64))</f>
        <v/>
      </c>
      <c r="C448" s="22" t="str">
        <f aca="false">IF(C447="","",IF(OR(IF(ISNUMBER(G447),H447,F447)&gt;=$C$7,IF(ISNUMBER(G447),H447,F447)&lt;=0),"",IF(ISNUMBER(G447),H447,F447)))</f>
        <v/>
      </c>
      <c r="D448" s="22" t="str">
        <f aca="false">IF(C448="","",ROUND(C448*$C$8,2))</f>
        <v/>
      </c>
      <c r="E448" s="22" t="str">
        <f aca="false">IF(C448="","",ROUND(C448*$C$9,2))</f>
        <v/>
      </c>
      <c r="F448" s="22" t="str">
        <f aca="false">IF(C448="","",C448+D448)</f>
        <v/>
      </c>
      <c r="G448" s="23" t="str">
        <f aca="false">IF(OR(C448="",NOT(ISNUMBER(H448))),"",ROUND(H448-C448,2))</f>
        <v/>
      </c>
      <c r="H448" s="24"/>
      <c r="I448" s="25" t="str">
        <f aca="false">IF(C448="","",IF(ISNUMBER(G448),IF(G448&lt;-E448,"Actual – Loss (limit breached)",IF(G448&lt;0,"Actual – Loss",IF(G448&gt;0,"Actual – Profit","Actual – No trade"))),"Projection"))</f>
        <v/>
      </c>
      <c r="J448" s="26"/>
      <c r="K448" s="27"/>
    </row>
    <row r="449" customFormat="false" ht="15" hidden="false" customHeight="false" outlineLevel="0" collapsed="false">
      <c r="A449" s="20" t="str">
        <f aca="false">IF(C449="","",ROW()-12)</f>
        <v/>
      </c>
      <c r="B449" s="21" t="str">
        <f aca="false">IF(C449="","",WORKDAY($C$5-1,A449,'NSE Holidays'!$A$5:$A$64))</f>
        <v/>
      </c>
      <c r="C449" s="22" t="str">
        <f aca="false">IF(C448="","",IF(OR(IF(ISNUMBER(G448),H448,F448)&gt;=$C$7,IF(ISNUMBER(G448),H448,F448)&lt;=0),"",IF(ISNUMBER(G448),H448,F448)))</f>
        <v/>
      </c>
      <c r="D449" s="22" t="str">
        <f aca="false">IF(C449="","",ROUND(C449*$C$8,2))</f>
        <v/>
      </c>
      <c r="E449" s="22" t="str">
        <f aca="false">IF(C449="","",ROUND(C449*$C$9,2))</f>
        <v/>
      </c>
      <c r="F449" s="22" t="str">
        <f aca="false">IF(C449="","",C449+D449)</f>
        <v/>
      </c>
      <c r="G449" s="23" t="str">
        <f aca="false">IF(OR(C449="",NOT(ISNUMBER(H449))),"",ROUND(H449-C449,2))</f>
        <v/>
      </c>
      <c r="H449" s="24"/>
      <c r="I449" s="25" t="str">
        <f aca="false">IF(C449="","",IF(ISNUMBER(G449),IF(G449&lt;-E449,"Actual – Loss (limit breached)",IF(G449&lt;0,"Actual – Loss",IF(G449&gt;0,"Actual – Profit","Actual – No trade"))),"Projection"))</f>
        <v/>
      </c>
      <c r="J449" s="26"/>
      <c r="K449" s="27"/>
    </row>
    <row r="450" customFormat="false" ht="15" hidden="false" customHeight="false" outlineLevel="0" collapsed="false">
      <c r="A450" s="20" t="str">
        <f aca="false">IF(C450="","",ROW()-12)</f>
        <v/>
      </c>
      <c r="B450" s="21" t="str">
        <f aca="false">IF(C450="","",WORKDAY($C$5-1,A450,'NSE Holidays'!$A$5:$A$64))</f>
        <v/>
      </c>
      <c r="C450" s="22" t="str">
        <f aca="false">IF(C449="","",IF(OR(IF(ISNUMBER(G449),H449,F449)&gt;=$C$7,IF(ISNUMBER(G449),H449,F449)&lt;=0),"",IF(ISNUMBER(G449),H449,F449)))</f>
        <v/>
      </c>
      <c r="D450" s="22" t="str">
        <f aca="false">IF(C450="","",ROUND(C450*$C$8,2))</f>
        <v/>
      </c>
      <c r="E450" s="22" t="str">
        <f aca="false">IF(C450="","",ROUND(C450*$C$9,2))</f>
        <v/>
      </c>
      <c r="F450" s="22" t="str">
        <f aca="false">IF(C450="","",C450+D450)</f>
        <v/>
      </c>
      <c r="G450" s="23" t="str">
        <f aca="false">IF(OR(C450="",NOT(ISNUMBER(H450))),"",ROUND(H450-C450,2))</f>
        <v/>
      </c>
      <c r="H450" s="24"/>
      <c r="I450" s="25" t="str">
        <f aca="false">IF(C450="","",IF(ISNUMBER(G450),IF(G450&lt;-E450,"Actual – Loss (limit breached)",IF(G450&lt;0,"Actual – Loss",IF(G450&gt;0,"Actual – Profit","Actual – No trade"))),"Projection"))</f>
        <v/>
      </c>
      <c r="J450" s="26"/>
      <c r="K450" s="27"/>
    </row>
    <row r="451" customFormat="false" ht="15" hidden="false" customHeight="false" outlineLevel="0" collapsed="false">
      <c r="A451" s="20" t="str">
        <f aca="false">IF(C451="","",ROW()-12)</f>
        <v/>
      </c>
      <c r="B451" s="21" t="str">
        <f aca="false">IF(C451="","",WORKDAY($C$5-1,A451,'NSE Holidays'!$A$5:$A$64))</f>
        <v/>
      </c>
      <c r="C451" s="22" t="str">
        <f aca="false">IF(C450="","",IF(OR(IF(ISNUMBER(G450),H450,F450)&gt;=$C$7,IF(ISNUMBER(G450),H450,F450)&lt;=0),"",IF(ISNUMBER(G450),H450,F450)))</f>
        <v/>
      </c>
      <c r="D451" s="22" t="str">
        <f aca="false">IF(C451="","",ROUND(C451*$C$8,2))</f>
        <v/>
      </c>
      <c r="E451" s="22" t="str">
        <f aca="false">IF(C451="","",ROUND(C451*$C$9,2))</f>
        <v/>
      </c>
      <c r="F451" s="22" t="str">
        <f aca="false">IF(C451="","",C451+D451)</f>
        <v/>
      </c>
      <c r="G451" s="23" t="str">
        <f aca="false">IF(OR(C451="",NOT(ISNUMBER(H451))),"",ROUND(H451-C451,2))</f>
        <v/>
      </c>
      <c r="H451" s="24"/>
      <c r="I451" s="25" t="str">
        <f aca="false">IF(C451="","",IF(ISNUMBER(G451),IF(G451&lt;-E451,"Actual – Loss (limit breached)",IF(G451&lt;0,"Actual – Loss",IF(G451&gt;0,"Actual – Profit","Actual – No trade"))),"Projection"))</f>
        <v/>
      </c>
      <c r="J451" s="26"/>
      <c r="K451" s="27"/>
    </row>
    <row r="452" customFormat="false" ht="15" hidden="false" customHeight="false" outlineLevel="0" collapsed="false">
      <c r="A452" s="20" t="str">
        <f aca="false">IF(C452="","",ROW()-12)</f>
        <v/>
      </c>
      <c r="B452" s="21" t="str">
        <f aca="false">IF(C452="","",WORKDAY($C$5-1,A452,'NSE Holidays'!$A$5:$A$64))</f>
        <v/>
      </c>
      <c r="C452" s="22" t="str">
        <f aca="false">IF(C451="","",IF(OR(IF(ISNUMBER(G451),H451,F451)&gt;=$C$7,IF(ISNUMBER(G451),H451,F451)&lt;=0),"",IF(ISNUMBER(G451),H451,F451)))</f>
        <v/>
      </c>
      <c r="D452" s="22" t="str">
        <f aca="false">IF(C452="","",ROUND(C452*$C$8,2))</f>
        <v/>
      </c>
      <c r="E452" s="22" t="str">
        <f aca="false">IF(C452="","",ROUND(C452*$C$9,2))</f>
        <v/>
      </c>
      <c r="F452" s="22" t="str">
        <f aca="false">IF(C452="","",C452+D452)</f>
        <v/>
      </c>
      <c r="G452" s="23" t="str">
        <f aca="false">IF(OR(C452="",NOT(ISNUMBER(H452))),"",ROUND(H452-C452,2))</f>
        <v/>
      </c>
      <c r="H452" s="24"/>
      <c r="I452" s="25" t="str">
        <f aca="false">IF(C452="","",IF(ISNUMBER(G452),IF(G452&lt;-E452,"Actual – Loss (limit breached)",IF(G452&lt;0,"Actual – Loss",IF(G452&gt;0,"Actual – Profit","Actual – No trade"))),"Projection"))</f>
        <v/>
      </c>
      <c r="J452" s="26"/>
      <c r="K452" s="27"/>
    </row>
    <row r="453" customFormat="false" ht="15" hidden="false" customHeight="false" outlineLevel="0" collapsed="false">
      <c r="A453" s="20" t="str">
        <f aca="false">IF(C453="","",ROW()-12)</f>
        <v/>
      </c>
      <c r="B453" s="21" t="str">
        <f aca="false">IF(C453="","",WORKDAY($C$5-1,A453,'NSE Holidays'!$A$5:$A$64))</f>
        <v/>
      </c>
      <c r="C453" s="22" t="str">
        <f aca="false">IF(C452="","",IF(OR(IF(ISNUMBER(G452),H452,F452)&gt;=$C$7,IF(ISNUMBER(G452),H452,F452)&lt;=0),"",IF(ISNUMBER(G452),H452,F452)))</f>
        <v/>
      </c>
      <c r="D453" s="22" t="str">
        <f aca="false">IF(C453="","",ROUND(C453*$C$8,2))</f>
        <v/>
      </c>
      <c r="E453" s="22" t="str">
        <f aca="false">IF(C453="","",ROUND(C453*$C$9,2))</f>
        <v/>
      </c>
      <c r="F453" s="22" t="str">
        <f aca="false">IF(C453="","",C453+D453)</f>
        <v/>
      </c>
      <c r="G453" s="23" t="str">
        <f aca="false">IF(OR(C453="",NOT(ISNUMBER(H453))),"",ROUND(H453-C453,2))</f>
        <v/>
      </c>
      <c r="H453" s="24"/>
      <c r="I453" s="25" t="str">
        <f aca="false">IF(C453="","",IF(ISNUMBER(G453),IF(G453&lt;-E453,"Actual – Loss (limit breached)",IF(G453&lt;0,"Actual – Loss",IF(G453&gt;0,"Actual – Profit","Actual – No trade"))),"Projection"))</f>
        <v/>
      </c>
      <c r="J453" s="26"/>
      <c r="K453" s="27"/>
    </row>
    <row r="454" customFormat="false" ht="15" hidden="false" customHeight="false" outlineLevel="0" collapsed="false">
      <c r="A454" s="20" t="str">
        <f aca="false">IF(C454="","",ROW()-12)</f>
        <v/>
      </c>
      <c r="B454" s="21" t="str">
        <f aca="false">IF(C454="","",WORKDAY($C$5-1,A454,'NSE Holidays'!$A$5:$A$64))</f>
        <v/>
      </c>
      <c r="C454" s="22" t="str">
        <f aca="false">IF(C453="","",IF(OR(IF(ISNUMBER(G453),H453,F453)&gt;=$C$7,IF(ISNUMBER(G453),H453,F453)&lt;=0),"",IF(ISNUMBER(G453),H453,F453)))</f>
        <v/>
      </c>
      <c r="D454" s="22" t="str">
        <f aca="false">IF(C454="","",ROUND(C454*$C$8,2))</f>
        <v/>
      </c>
      <c r="E454" s="22" t="str">
        <f aca="false">IF(C454="","",ROUND(C454*$C$9,2))</f>
        <v/>
      </c>
      <c r="F454" s="22" t="str">
        <f aca="false">IF(C454="","",C454+D454)</f>
        <v/>
      </c>
      <c r="G454" s="23" t="str">
        <f aca="false">IF(OR(C454="",NOT(ISNUMBER(H454))),"",ROUND(H454-C454,2))</f>
        <v/>
      </c>
      <c r="H454" s="24"/>
      <c r="I454" s="25" t="str">
        <f aca="false">IF(C454="","",IF(ISNUMBER(G454),IF(G454&lt;-E454,"Actual – Loss (limit breached)",IF(G454&lt;0,"Actual – Loss",IF(G454&gt;0,"Actual – Profit","Actual – No trade"))),"Projection"))</f>
        <v/>
      </c>
      <c r="J454" s="26"/>
      <c r="K454" s="27"/>
    </row>
    <row r="455" customFormat="false" ht="15" hidden="false" customHeight="false" outlineLevel="0" collapsed="false">
      <c r="A455" s="20" t="str">
        <f aca="false">IF(C455="","",ROW()-12)</f>
        <v/>
      </c>
      <c r="B455" s="21" t="str">
        <f aca="false">IF(C455="","",WORKDAY($C$5-1,A455,'NSE Holidays'!$A$5:$A$64))</f>
        <v/>
      </c>
      <c r="C455" s="22" t="str">
        <f aca="false">IF(C454="","",IF(OR(IF(ISNUMBER(G454),H454,F454)&gt;=$C$7,IF(ISNUMBER(G454),H454,F454)&lt;=0),"",IF(ISNUMBER(G454),H454,F454)))</f>
        <v/>
      </c>
      <c r="D455" s="22" t="str">
        <f aca="false">IF(C455="","",ROUND(C455*$C$8,2))</f>
        <v/>
      </c>
      <c r="E455" s="22" t="str">
        <f aca="false">IF(C455="","",ROUND(C455*$C$9,2))</f>
        <v/>
      </c>
      <c r="F455" s="22" t="str">
        <f aca="false">IF(C455="","",C455+D455)</f>
        <v/>
      </c>
      <c r="G455" s="23" t="str">
        <f aca="false">IF(OR(C455="",NOT(ISNUMBER(H455))),"",ROUND(H455-C455,2))</f>
        <v/>
      </c>
      <c r="H455" s="24"/>
      <c r="I455" s="25" t="str">
        <f aca="false">IF(C455="","",IF(ISNUMBER(G455),IF(G455&lt;-E455,"Actual – Loss (limit breached)",IF(G455&lt;0,"Actual – Loss",IF(G455&gt;0,"Actual – Profit","Actual – No trade"))),"Projection"))</f>
        <v/>
      </c>
      <c r="J455" s="26"/>
      <c r="K455" s="27"/>
    </row>
    <row r="456" customFormat="false" ht="15" hidden="false" customHeight="false" outlineLevel="0" collapsed="false">
      <c r="A456" s="20" t="str">
        <f aca="false">IF(C456="","",ROW()-12)</f>
        <v/>
      </c>
      <c r="B456" s="21" t="str">
        <f aca="false">IF(C456="","",WORKDAY($C$5-1,A456,'NSE Holidays'!$A$5:$A$64))</f>
        <v/>
      </c>
      <c r="C456" s="22" t="str">
        <f aca="false">IF(C455="","",IF(OR(IF(ISNUMBER(G455),H455,F455)&gt;=$C$7,IF(ISNUMBER(G455),H455,F455)&lt;=0),"",IF(ISNUMBER(G455),H455,F455)))</f>
        <v/>
      </c>
      <c r="D456" s="22" t="str">
        <f aca="false">IF(C456="","",ROUND(C456*$C$8,2))</f>
        <v/>
      </c>
      <c r="E456" s="22" t="str">
        <f aca="false">IF(C456="","",ROUND(C456*$C$9,2))</f>
        <v/>
      </c>
      <c r="F456" s="22" t="str">
        <f aca="false">IF(C456="","",C456+D456)</f>
        <v/>
      </c>
      <c r="G456" s="23" t="str">
        <f aca="false">IF(OR(C456="",NOT(ISNUMBER(H456))),"",ROUND(H456-C456,2))</f>
        <v/>
      </c>
      <c r="H456" s="24"/>
      <c r="I456" s="25" t="str">
        <f aca="false">IF(C456="","",IF(ISNUMBER(G456),IF(G456&lt;-E456,"Actual – Loss (limit breached)",IF(G456&lt;0,"Actual – Loss",IF(G456&gt;0,"Actual – Profit","Actual – No trade"))),"Projection"))</f>
        <v/>
      </c>
      <c r="J456" s="26"/>
      <c r="K456" s="27"/>
    </row>
    <row r="457" customFormat="false" ht="15" hidden="false" customHeight="false" outlineLevel="0" collapsed="false">
      <c r="A457" s="20" t="str">
        <f aca="false">IF(C457="","",ROW()-12)</f>
        <v/>
      </c>
      <c r="B457" s="21" t="str">
        <f aca="false">IF(C457="","",WORKDAY($C$5-1,A457,'NSE Holidays'!$A$5:$A$64))</f>
        <v/>
      </c>
      <c r="C457" s="22" t="str">
        <f aca="false">IF(C456="","",IF(OR(IF(ISNUMBER(G456),H456,F456)&gt;=$C$7,IF(ISNUMBER(G456),H456,F456)&lt;=0),"",IF(ISNUMBER(G456),H456,F456)))</f>
        <v/>
      </c>
      <c r="D457" s="22" t="str">
        <f aca="false">IF(C457="","",ROUND(C457*$C$8,2))</f>
        <v/>
      </c>
      <c r="E457" s="22" t="str">
        <f aca="false">IF(C457="","",ROUND(C457*$C$9,2))</f>
        <v/>
      </c>
      <c r="F457" s="22" t="str">
        <f aca="false">IF(C457="","",C457+D457)</f>
        <v/>
      </c>
      <c r="G457" s="23" t="str">
        <f aca="false">IF(OR(C457="",NOT(ISNUMBER(H457))),"",ROUND(H457-C457,2))</f>
        <v/>
      </c>
      <c r="H457" s="24"/>
      <c r="I457" s="25" t="str">
        <f aca="false">IF(C457="","",IF(ISNUMBER(G457),IF(G457&lt;-E457,"Actual – Loss (limit breached)",IF(G457&lt;0,"Actual – Loss",IF(G457&gt;0,"Actual – Profit","Actual – No trade"))),"Projection"))</f>
        <v/>
      </c>
      <c r="J457" s="26"/>
      <c r="K457" s="27"/>
    </row>
    <row r="458" customFormat="false" ht="15" hidden="false" customHeight="false" outlineLevel="0" collapsed="false">
      <c r="A458" s="20" t="str">
        <f aca="false">IF(C458="","",ROW()-12)</f>
        <v/>
      </c>
      <c r="B458" s="21" t="str">
        <f aca="false">IF(C458="","",WORKDAY($C$5-1,A458,'NSE Holidays'!$A$5:$A$64))</f>
        <v/>
      </c>
      <c r="C458" s="22" t="str">
        <f aca="false">IF(C457="","",IF(OR(IF(ISNUMBER(G457),H457,F457)&gt;=$C$7,IF(ISNUMBER(G457),H457,F457)&lt;=0),"",IF(ISNUMBER(G457),H457,F457)))</f>
        <v/>
      </c>
      <c r="D458" s="22" t="str">
        <f aca="false">IF(C458="","",ROUND(C458*$C$8,2))</f>
        <v/>
      </c>
      <c r="E458" s="22" t="str">
        <f aca="false">IF(C458="","",ROUND(C458*$C$9,2))</f>
        <v/>
      </c>
      <c r="F458" s="22" t="str">
        <f aca="false">IF(C458="","",C458+D458)</f>
        <v/>
      </c>
      <c r="G458" s="23" t="str">
        <f aca="false">IF(OR(C458="",NOT(ISNUMBER(H458))),"",ROUND(H458-C458,2))</f>
        <v/>
      </c>
      <c r="H458" s="24"/>
      <c r="I458" s="25" t="str">
        <f aca="false">IF(C458="","",IF(ISNUMBER(G458),IF(G458&lt;-E458,"Actual – Loss (limit breached)",IF(G458&lt;0,"Actual – Loss",IF(G458&gt;0,"Actual – Profit","Actual – No trade"))),"Projection"))</f>
        <v/>
      </c>
      <c r="J458" s="26"/>
      <c r="K458" s="27"/>
    </row>
    <row r="459" customFormat="false" ht="15" hidden="false" customHeight="false" outlineLevel="0" collapsed="false">
      <c r="A459" s="20" t="str">
        <f aca="false">IF(C459="","",ROW()-12)</f>
        <v/>
      </c>
      <c r="B459" s="21" t="str">
        <f aca="false">IF(C459="","",WORKDAY($C$5-1,A459,'NSE Holidays'!$A$5:$A$64))</f>
        <v/>
      </c>
      <c r="C459" s="22" t="str">
        <f aca="false">IF(C458="","",IF(OR(IF(ISNUMBER(G458),H458,F458)&gt;=$C$7,IF(ISNUMBER(G458),H458,F458)&lt;=0),"",IF(ISNUMBER(G458),H458,F458)))</f>
        <v/>
      </c>
      <c r="D459" s="22" t="str">
        <f aca="false">IF(C459="","",ROUND(C459*$C$8,2))</f>
        <v/>
      </c>
      <c r="E459" s="22" t="str">
        <f aca="false">IF(C459="","",ROUND(C459*$C$9,2))</f>
        <v/>
      </c>
      <c r="F459" s="22" t="str">
        <f aca="false">IF(C459="","",C459+D459)</f>
        <v/>
      </c>
      <c r="G459" s="23" t="str">
        <f aca="false">IF(OR(C459="",NOT(ISNUMBER(H459))),"",ROUND(H459-C459,2))</f>
        <v/>
      </c>
      <c r="H459" s="24"/>
      <c r="I459" s="25" t="str">
        <f aca="false">IF(C459="","",IF(ISNUMBER(G459),IF(G459&lt;-E459,"Actual – Loss (limit breached)",IF(G459&lt;0,"Actual – Loss",IF(G459&gt;0,"Actual – Profit","Actual – No trade"))),"Projection"))</f>
        <v/>
      </c>
      <c r="J459" s="26"/>
      <c r="K459" s="27"/>
    </row>
    <row r="460" customFormat="false" ht="15" hidden="false" customHeight="false" outlineLevel="0" collapsed="false">
      <c r="A460" s="20" t="str">
        <f aca="false">IF(C460="","",ROW()-12)</f>
        <v/>
      </c>
      <c r="B460" s="21" t="str">
        <f aca="false">IF(C460="","",WORKDAY($C$5-1,A460,'NSE Holidays'!$A$5:$A$64))</f>
        <v/>
      </c>
      <c r="C460" s="22" t="str">
        <f aca="false">IF(C459="","",IF(OR(IF(ISNUMBER(G459),H459,F459)&gt;=$C$7,IF(ISNUMBER(G459),H459,F459)&lt;=0),"",IF(ISNUMBER(G459),H459,F459)))</f>
        <v/>
      </c>
      <c r="D460" s="22" t="str">
        <f aca="false">IF(C460="","",ROUND(C460*$C$8,2))</f>
        <v/>
      </c>
      <c r="E460" s="22" t="str">
        <f aca="false">IF(C460="","",ROUND(C460*$C$9,2))</f>
        <v/>
      </c>
      <c r="F460" s="22" t="str">
        <f aca="false">IF(C460="","",C460+D460)</f>
        <v/>
      </c>
      <c r="G460" s="23" t="str">
        <f aca="false">IF(OR(C460="",NOT(ISNUMBER(H460))),"",ROUND(H460-C460,2))</f>
        <v/>
      </c>
      <c r="H460" s="24"/>
      <c r="I460" s="25" t="str">
        <f aca="false">IF(C460="","",IF(ISNUMBER(G460),IF(G460&lt;-E460,"Actual – Loss (limit breached)",IF(G460&lt;0,"Actual – Loss",IF(G460&gt;0,"Actual – Profit","Actual – No trade"))),"Projection"))</f>
        <v/>
      </c>
      <c r="J460" s="26"/>
      <c r="K460" s="27"/>
    </row>
    <row r="461" customFormat="false" ht="15" hidden="false" customHeight="false" outlineLevel="0" collapsed="false">
      <c r="A461" s="20" t="str">
        <f aca="false">IF(C461="","",ROW()-12)</f>
        <v/>
      </c>
      <c r="B461" s="21" t="str">
        <f aca="false">IF(C461="","",WORKDAY($C$5-1,A461,'NSE Holidays'!$A$5:$A$64))</f>
        <v/>
      </c>
      <c r="C461" s="22" t="str">
        <f aca="false">IF(C460="","",IF(OR(IF(ISNUMBER(G460),H460,F460)&gt;=$C$7,IF(ISNUMBER(G460),H460,F460)&lt;=0),"",IF(ISNUMBER(G460),H460,F460)))</f>
        <v/>
      </c>
      <c r="D461" s="22" t="str">
        <f aca="false">IF(C461="","",ROUND(C461*$C$8,2))</f>
        <v/>
      </c>
      <c r="E461" s="22" t="str">
        <f aca="false">IF(C461="","",ROUND(C461*$C$9,2))</f>
        <v/>
      </c>
      <c r="F461" s="22" t="str">
        <f aca="false">IF(C461="","",C461+D461)</f>
        <v/>
      </c>
      <c r="G461" s="23" t="str">
        <f aca="false">IF(OR(C461="",NOT(ISNUMBER(H461))),"",ROUND(H461-C461,2))</f>
        <v/>
      </c>
      <c r="H461" s="24"/>
      <c r="I461" s="25" t="str">
        <f aca="false">IF(C461="","",IF(ISNUMBER(G461),IF(G461&lt;-E461,"Actual – Loss (limit breached)",IF(G461&lt;0,"Actual – Loss",IF(G461&gt;0,"Actual – Profit","Actual – No trade"))),"Projection"))</f>
        <v/>
      </c>
      <c r="J461" s="26"/>
      <c r="K461" s="27"/>
    </row>
    <row r="462" customFormat="false" ht="15" hidden="false" customHeight="false" outlineLevel="0" collapsed="false">
      <c r="A462" s="20" t="str">
        <f aca="false">IF(C462="","",ROW()-12)</f>
        <v/>
      </c>
      <c r="B462" s="21" t="str">
        <f aca="false">IF(C462="","",WORKDAY($C$5-1,A462,'NSE Holidays'!$A$5:$A$64))</f>
        <v/>
      </c>
      <c r="C462" s="22" t="str">
        <f aca="false">IF(C461="","",IF(OR(IF(ISNUMBER(G461),H461,F461)&gt;=$C$7,IF(ISNUMBER(G461),H461,F461)&lt;=0),"",IF(ISNUMBER(G461),H461,F461)))</f>
        <v/>
      </c>
      <c r="D462" s="22" t="str">
        <f aca="false">IF(C462="","",ROUND(C462*$C$8,2))</f>
        <v/>
      </c>
      <c r="E462" s="22" t="str">
        <f aca="false">IF(C462="","",ROUND(C462*$C$9,2))</f>
        <v/>
      </c>
      <c r="F462" s="22" t="str">
        <f aca="false">IF(C462="","",C462+D462)</f>
        <v/>
      </c>
      <c r="G462" s="23" t="str">
        <f aca="false">IF(OR(C462="",NOT(ISNUMBER(H462))),"",ROUND(H462-C462,2))</f>
        <v/>
      </c>
      <c r="H462" s="24"/>
      <c r="I462" s="25" t="str">
        <f aca="false">IF(C462="","",IF(ISNUMBER(G462),IF(G462&lt;-E462,"Actual – Loss (limit breached)",IF(G462&lt;0,"Actual – Loss",IF(G462&gt;0,"Actual – Profit","Actual – No trade"))),"Projection"))</f>
        <v/>
      </c>
      <c r="J462" s="26"/>
      <c r="K462" s="27"/>
    </row>
    <row r="463" customFormat="false" ht="15" hidden="false" customHeight="false" outlineLevel="0" collapsed="false">
      <c r="A463" s="20" t="str">
        <f aca="false">IF(C463="","",ROW()-12)</f>
        <v/>
      </c>
      <c r="B463" s="21" t="str">
        <f aca="false">IF(C463="","",WORKDAY($C$5-1,A463,'NSE Holidays'!$A$5:$A$64))</f>
        <v/>
      </c>
      <c r="C463" s="22" t="str">
        <f aca="false">IF(C462="","",IF(OR(IF(ISNUMBER(G462),H462,F462)&gt;=$C$7,IF(ISNUMBER(G462),H462,F462)&lt;=0),"",IF(ISNUMBER(G462),H462,F462)))</f>
        <v/>
      </c>
      <c r="D463" s="22" t="str">
        <f aca="false">IF(C463="","",ROUND(C463*$C$8,2))</f>
        <v/>
      </c>
      <c r="E463" s="22" t="str">
        <f aca="false">IF(C463="","",ROUND(C463*$C$9,2))</f>
        <v/>
      </c>
      <c r="F463" s="22" t="str">
        <f aca="false">IF(C463="","",C463+D463)</f>
        <v/>
      </c>
      <c r="G463" s="23" t="str">
        <f aca="false">IF(OR(C463="",NOT(ISNUMBER(H463))),"",ROUND(H463-C463,2))</f>
        <v/>
      </c>
      <c r="H463" s="24"/>
      <c r="I463" s="25" t="str">
        <f aca="false">IF(C463="","",IF(ISNUMBER(G463),IF(G463&lt;-E463,"Actual – Loss (limit breached)",IF(G463&lt;0,"Actual – Loss",IF(G463&gt;0,"Actual – Profit","Actual – No trade"))),"Projection"))</f>
        <v/>
      </c>
      <c r="J463" s="26"/>
      <c r="K463" s="27"/>
    </row>
    <row r="464" customFormat="false" ht="15" hidden="false" customHeight="false" outlineLevel="0" collapsed="false">
      <c r="A464" s="20" t="str">
        <f aca="false">IF(C464="","",ROW()-12)</f>
        <v/>
      </c>
      <c r="B464" s="21" t="str">
        <f aca="false">IF(C464="","",WORKDAY($C$5-1,A464,'NSE Holidays'!$A$5:$A$64))</f>
        <v/>
      </c>
      <c r="C464" s="22" t="str">
        <f aca="false">IF(C463="","",IF(OR(IF(ISNUMBER(G463),H463,F463)&gt;=$C$7,IF(ISNUMBER(G463),H463,F463)&lt;=0),"",IF(ISNUMBER(G463),H463,F463)))</f>
        <v/>
      </c>
      <c r="D464" s="22" t="str">
        <f aca="false">IF(C464="","",ROUND(C464*$C$8,2))</f>
        <v/>
      </c>
      <c r="E464" s="22" t="str">
        <f aca="false">IF(C464="","",ROUND(C464*$C$9,2))</f>
        <v/>
      </c>
      <c r="F464" s="22" t="str">
        <f aca="false">IF(C464="","",C464+D464)</f>
        <v/>
      </c>
      <c r="G464" s="23" t="str">
        <f aca="false">IF(OR(C464="",NOT(ISNUMBER(H464))),"",ROUND(H464-C464,2))</f>
        <v/>
      </c>
      <c r="H464" s="24"/>
      <c r="I464" s="25" t="str">
        <f aca="false">IF(C464="","",IF(ISNUMBER(G464),IF(G464&lt;-E464,"Actual – Loss (limit breached)",IF(G464&lt;0,"Actual – Loss",IF(G464&gt;0,"Actual – Profit","Actual – No trade"))),"Projection"))</f>
        <v/>
      </c>
      <c r="J464" s="26"/>
      <c r="K464" s="27"/>
    </row>
    <row r="465" customFormat="false" ht="15" hidden="false" customHeight="false" outlineLevel="0" collapsed="false">
      <c r="A465" s="20" t="str">
        <f aca="false">IF(C465="","",ROW()-12)</f>
        <v/>
      </c>
      <c r="B465" s="21" t="str">
        <f aca="false">IF(C465="","",WORKDAY($C$5-1,A465,'NSE Holidays'!$A$5:$A$64))</f>
        <v/>
      </c>
      <c r="C465" s="22" t="str">
        <f aca="false">IF(C464="","",IF(OR(IF(ISNUMBER(G464),H464,F464)&gt;=$C$7,IF(ISNUMBER(G464),H464,F464)&lt;=0),"",IF(ISNUMBER(G464),H464,F464)))</f>
        <v/>
      </c>
      <c r="D465" s="22" t="str">
        <f aca="false">IF(C465="","",ROUND(C465*$C$8,2))</f>
        <v/>
      </c>
      <c r="E465" s="22" t="str">
        <f aca="false">IF(C465="","",ROUND(C465*$C$9,2))</f>
        <v/>
      </c>
      <c r="F465" s="22" t="str">
        <f aca="false">IF(C465="","",C465+D465)</f>
        <v/>
      </c>
      <c r="G465" s="23" t="str">
        <f aca="false">IF(OR(C465="",NOT(ISNUMBER(H465))),"",ROUND(H465-C465,2))</f>
        <v/>
      </c>
      <c r="H465" s="24"/>
      <c r="I465" s="25" t="str">
        <f aca="false">IF(C465="","",IF(ISNUMBER(G465),IF(G465&lt;-E465,"Actual – Loss (limit breached)",IF(G465&lt;0,"Actual – Loss",IF(G465&gt;0,"Actual – Profit","Actual – No trade"))),"Projection"))</f>
        <v/>
      </c>
      <c r="J465" s="26"/>
      <c r="K465" s="27"/>
    </row>
    <row r="466" customFormat="false" ht="15" hidden="false" customHeight="false" outlineLevel="0" collapsed="false">
      <c r="A466" s="20" t="str">
        <f aca="false">IF(C466="","",ROW()-12)</f>
        <v/>
      </c>
      <c r="B466" s="21" t="str">
        <f aca="false">IF(C466="","",WORKDAY($C$5-1,A466,'NSE Holidays'!$A$5:$A$64))</f>
        <v/>
      </c>
      <c r="C466" s="22" t="str">
        <f aca="false">IF(C465="","",IF(OR(IF(ISNUMBER(G465),H465,F465)&gt;=$C$7,IF(ISNUMBER(G465),H465,F465)&lt;=0),"",IF(ISNUMBER(G465),H465,F465)))</f>
        <v/>
      </c>
      <c r="D466" s="22" t="str">
        <f aca="false">IF(C466="","",ROUND(C466*$C$8,2))</f>
        <v/>
      </c>
      <c r="E466" s="22" t="str">
        <f aca="false">IF(C466="","",ROUND(C466*$C$9,2))</f>
        <v/>
      </c>
      <c r="F466" s="22" t="str">
        <f aca="false">IF(C466="","",C466+D466)</f>
        <v/>
      </c>
      <c r="G466" s="23" t="str">
        <f aca="false">IF(OR(C466="",NOT(ISNUMBER(H466))),"",ROUND(H466-C466,2))</f>
        <v/>
      </c>
      <c r="H466" s="24"/>
      <c r="I466" s="25" t="str">
        <f aca="false">IF(C466="","",IF(ISNUMBER(G466),IF(G466&lt;-E466,"Actual – Loss (limit breached)",IF(G466&lt;0,"Actual – Loss",IF(G466&gt;0,"Actual – Profit","Actual – No trade"))),"Projection"))</f>
        <v/>
      </c>
      <c r="J466" s="26"/>
      <c r="K466" s="27"/>
    </row>
    <row r="467" customFormat="false" ht="15" hidden="false" customHeight="false" outlineLevel="0" collapsed="false">
      <c r="A467" s="20" t="str">
        <f aca="false">IF(C467="","",ROW()-12)</f>
        <v/>
      </c>
      <c r="B467" s="21" t="str">
        <f aca="false">IF(C467="","",WORKDAY($C$5-1,A467,'NSE Holidays'!$A$5:$A$64))</f>
        <v/>
      </c>
      <c r="C467" s="22" t="str">
        <f aca="false">IF(C466="","",IF(OR(IF(ISNUMBER(G466),H466,F466)&gt;=$C$7,IF(ISNUMBER(G466),H466,F466)&lt;=0),"",IF(ISNUMBER(G466),H466,F466)))</f>
        <v/>
      </c>
      <c r="D467" s="22" t="str">
        <f aca="false">IF(C467="","",ROUND(C467*$C$8,2))</f>
        <v/>
      </c>
      <c r="E467" s="22" t="str">
        <f aca="false">IF(C467="","",ROUND(C467*$C$9,2))</f>
        <v/>
      </c>
      <c r="F467" s="22" t="str">
        <f aca="false">IF(C467="","",C467+D467)</f>
        <v/>
      </c>
      <c r="G467" s="23" t="str">
        <f aca="false">IF(OR(C467="",NOT(ISNUMBER(H467))),"",ROUND(H467-C467,2))</f>
        <v/>
      </c>
      <c r="H467" s="24"/>
      <c r="I467" s="25" t="str">
        <f aca="false">IF(C467="","",IF(ISNUMBER(G467),IF(G467&lt;-E467,"Actual – Loss (limit breached)",IF(G467&lt;0,"Actual – Loss",IF(G467&gt;0,"Actual – Profit","Actual – No trade"))),"Projection"))</f>
        <v/>
      </c>
      <c r="J467" s="26"/>
      <c r="K467" s="27"/>
    </row>
    <row r="468" customFormat="false" ht="15" hidden="false" customHeight="false" outlineLevel="0" collapsed="false">
      <c r="A468" s="20" t="str">
        <f aca="false">IF(C468="","",ROW()-12)</f>
        <v/>
      </c>
      <c r="B468" s="21" t="str">
        <f aca="false">IF(C468="","",WORKDAY($C$5-1,A468,'NSE Holidays'!$A$5:$A$64))</f>
        <v/>
      </c>
      <c r="C468" s="22" t="str">
        <f aca="false">IF(C467="","",IF(OR(IF(ISNUMBER(G467),H467,F467)&gt;=$C$7,IF(ISNUMBER(G467),H467,F467)&lt;=0),"",IF(ISNUMBER(G467),H467,F467)))</f>
        <v/>
      </c>
      <c r="D468" s="22" t="str">
        <f aca="false">IF(C468="","",ROUND(C468*$C$8,2))</f>
        <v/>
      </c>
      <c r="E468" s="22" t="str">
        <f aca="false">IF(C468="","",ROUND(C468*$C$9,2))</f>
        <v/>
      </c>
      <c r="F468" s="22" t="str">
        <f aca="false">IF(C468="","",C468+D468)</f>
        <v/>
      </c>
      <c r="G468" s="23" t="str">
        <f aca="false">IF(OR(C468="",NOT(ISNUMBER(H468))),"",ROUND(H468-C468,2))</f>
        <v/>
      </c>
      <c r="H468" s="24"/>
      <c r="I468" s="25" t="str">
        <f aca="false">IF(C468="","",IF(ISNUMBER(G468),IF(G468&lt;-E468,"Actual – Loss (limit breached)",IF(G468&lt;0,"Actual – Loss",IF(G468&gt;0,"Actual – Profit","Actual – No trade"))),"Projection"))</f>
        <v/>
      </c>
      <c r="J468" s="26"/>
      <c r="K468" s="27"/>
    </row>
    <row r="469" customFormat="false" ht="15" hidden="false" customHeight="false" outlineLevel="0" collapsed="false">
      <c r="A469" s="20" t="str">
        <f aca="false">IF(C469="","",ROW()-12)</f>
        <v/>
      </c>
      <c r="B469" s="21" t="str">
        <f aca="false">IF(C469="","",WORKDAY($C$5-1,A469,'NSE Holidays'!$A$5:$A$64))</f>
        <v/>
      </c>
      <c r="C469" s="22" t="str">
        <f aca="false">IF(C468="","",IF(OR(IF(ISNUMBER(G468),H468,F468)&gt;=$C$7,IF(ISNUMBER(G468),H468,F468)&lt;=0),"",IF(ISNUMBER(G468),H468,F468)))</f>
        <v/>
      </c>
      <c r="D469" s="22" t="str">
        <f aca="false">IF(C469="","",ROUND(C469*$C$8,2))</f>
        <v/>
      </c>
      <c r="E469" s="22" t="str">
        <f aca="false">IF(C469="","",ROUND(C469*$C$9,2))</f>
        <v/>
      </c>
      <c r="F469" s="22" t="str">
        <f aca="false">IF(C469="","",C469+D469)</f>
        <v/>
      </c>
      <c r="G469" s="23" t="str">
        <f aca="false">IF(OR(C469="",NOT(ISNUMBER(H469))),"",ROUND(H469-C469,2))</f>
        <v/>
      </c>
      <c r="H469" s="24"/>
      <c r="I469" s="25" t="str">
        <f aca="false">IF(C469="","",IF(ISNUMBER(G469),IF(G469&lt;-E469,"Actual – Loss (limit breached)",IF(G469&lt;0,"Actual – Loss",IF(G469&gt;0,"Actual – Profit","Actual – No trade"))),"Projection"))</f>
        <v/>
      </c>
      <c r="J469" s="26"/>
      <c r="K469" s="27"/>
    </row>
    <row r="470" customFormat="false" ht="15" hidden="false" customHeight="false" outlineLevel="0" collapsed="false">
      <c r="A470" s="20" t="str">
        <f aca="false">IF(C470="","",ROW()-12)</f>
        <v/>
      </c>
      <c r="B470" s="21" t="str">
        <f aca="false">IF(C470="","",WORKDAY($C$5-1,A470,'NSE Holidays'!$A$5:$A$64))</f>
        <v/>
      </c>
      <c r="C470" s="22" t="str">
        <f aca="false">IF(C469="","",IF(OR(IF(ISNUMBER(G469),H469,F469)&gt;=$C$7,IF(ISNUMBER(G469),H469,F469)&lt;=0),"",IF(ISNUMBER(G469),H469,F469)))</f>
        <v/>
      </c>
      <c r="D470" s="22" t="str">
        <f aca="false">IF(C470="","",ROUND(C470*$C$8,2))</f>
        <v/>
      </c>
      <c r="E470" s="22" t="str">
        <f aca="false">IF(C470="","",ROUND(C470*$C$9,2))</f>
        <v/>
      </c>
      <c r="F470" s="22" t="str">
        <f aca="false">IF(C470="","",C470+D470)</f>
        <v/>
      </c>
      <c r="G470" s="23" t="str">
        <f aca="false">IF(OR(C470="",NOT(ISNUMBER(H470))),"",ROUND(H470-C470,2))</f>
        <v/>
      </c>
      <c r="H470" s="24"/>
      <c r="I470" s="25" t="str">
        <f aca="false">IF(C470="","",IF(ISNUMBER(G470),IF(G470&lt;-E470,"Actual – Loss (limit breached)",IF(G470&lt;0,"Actual – Loss",IF(G470&gt;0,"Actual – Profit","Actual – No trade"))),"Projection"))</f>
        <v/>
      </c>
      <c r="J470" s="26"/>
      <c r="K470" s="27"/>
    </row>
    <row r="471" customFormat="false" ht="15" hidden="false" customHeight="false" outlineLevel="0" collapsed="false">
      <c r="A471" s="20" t="str">
        <f aca="false">IF(C471="","",ROW()-12)</f>
        <v/>
      </c>
      <c r="B471" s="21" t="str">
        <f aca="false">IF(C471="","",WORKDAY($C$5-1,A471,'NSE Holidays'!$A$5:$A$64))</f>
        <v/>
      </c>
      <c r="C471" s="22" t="str">
        <f aca="false">IF(C470="","",IF(OR(IF(ISNUMBER(G470),H470,F470)&gt;=$C$7,IF(ISNUMBER(G470),H470,F470)&lt;=0),"",IF(ISNUMBER(G470),H470,F470)))</f>
        <v/>
      </c>
      <c r="D471" s="22" t="str">
        <f aca="false">IF(C471="","",ROUND(C471*$C$8,2))</f>
        <v/>
      </c>
      <c r="E471" s="22" t="str">
        <f aca="false">IF(C471="","",ROUND(C471*$C$9,2))</f>
        <v/>
      </c>
      <c r="F471" s="22" t="str">
        <f aca="false">IF(C471="","",C471+D471)</f>
        <v/>
      </c>
      <c r="G471" s="23" t="str">
        <f aca="false">IF(OR(C471="",NOT(ISNUMBER(H471))),"",ROUND(H471-C471,2))</f>
        <v/>
      </c>
      <c r="H471" s="24"/>
      <c r="I471" s="25" t="str">
        <f aca="false">IF(C471="","",IF(ISNUMBER(G471),IF(G471&lt;-E471,"Actual – Loss (limit breached)",IF(G471&lt;0,"Actual – Loss",IF(G471&gt;0,"Actual – Profit","Actual – No trade"))),"Projection"))</f>
        <v/>
      </c>
      <c r="J471" s="26"/>
      <c r="K471" s="27"/>
    </row>
    <row r="472" customFormat="false" ht="15" hidden="false" customHeight="false" outlineLevel="0" collapsed="false">
      <c r="A472" s="20" t="str">
        <f aca="false">IF(C472="","",ROW()-12)</f>
        <v/>
      </c>
      <c r="B472" s="21" t="str">
        <f aca="false">IF(C472="","",WORKDAY($C$5-1,A472,'NSE Holidays'!$A$5:$A$64))</f>
        <v/>
      </c>
      <c r="C472" s="22" t="str">
        <f aca="false">IF(C471="","",IF(OR(IF(ISNUMBER(G471),H471,F471)&gt;=$C$7,IF(ISNUMBER(G471),H471,F471)&lt;=0),"",IF(ISNUMBER(G471),H471,F471)))</f>
        <v/>
      </c>
      <c r="D472" s="22" t="str">
        <f aca="false">IF(C472="","",ROUND(C472*$C$8,2))</f>
        <v/>
      </c>
      <c r="E472" s="22" t="str">
        <f aca="false">IF(C472="","",ROUND(C472*$C$9,2))</f>
        <v/>
      </c>
      <c r="F472" s="22" t="str">
        <f aca="false">IF(C472="","",C472+D472)</f>
        <v/>
      </c>
      <c r="G472" s="23" t="str">
        <f aca="false">IF(OR(C472="",NOT(ISNUMBER(H472))),"",ROUND(H472-C472,2))</f>
        <v/>
      </c>
      <c r="H472" s="24"/>
      <c r="I472" s="25" t="str">
        <f aca="false">IF(C472="","",IF(ISNUMBER(G472),IF(G472&lt;-E472,"Actual – Loss (limit breached)",IF(G472&lt;0,"Actual – Loss",IF(G472&gt;0,"Actual – Profit","Actual – No trade"))),"Projection"))</f>
        <v/>
      </c>
      <c r="J472" s="26"/>
      <c r="K472" s="27"/>
    </row>
    <row r="473" customFormat="false" ht="15" hidden="false" customHeight="false" outlineLevel="0" collapsed="false">
      <c r="A473" s="20" t="str">
        <f aca="false">IF(C473="","",ROW()-12)</f>
        <v/>
      </c>
      <c r="B473" s="21" t="str">
        <f aca="false">IF(C473="","",WORKDAY($C$5-1,A473,'NSE Holidays'!$A$5:$A$64))</f>
        <v/>
      </c>
      <c r="C473" s="22" t="str">
        <f aca="false">IF(C472="","",IF(OR(IF(ISNUMBER(G472),H472,F472)&gt;=$C$7,IF(ISNUMBER(G472),H472,F472)&lt;=0),"",IF(ISNUMBER(G472),H472,F472)))</f>
        <v/>
      </c>
      <c r="D473" s="22" t="str">
        <f aca="false">IF(C473="","",ROUND(C473*$C$8,2))</f>
        <v/>
      </c>
      <c r="E473" s="22" t="str">
        <f aca="false">IF(C473="","",ROUND(C473*$C$9,2))</f>
        <v/>
      </c>
      <c r="F473" s="22" t="str">
        <f aca="false">IF(C473="","",C473+D473)</f>
        <v/>
      </c>
      <c r="G473" s="23" t="str">
        <f aca="false">IF(OR(C473="",NOT(ISNUMBER(H473))),"",ROUND(H473-C473,2))</f>
        <v/>
      </c>
      <c r="H473" s="24"/>
      <c r="I473" s="25" t="str">
        <f aca="false">IF(C473="","",IF(ISNUMBER(G473),IF(G473&lt;-E473,"Actual – Loss (limit breached)",IF(G473&lt;0,"Actual – Loss",IF(G473&gt;0,"Actual – Profit","Actual – No trade"))),"Projection"))</f>
        <v/>
      </c>
      <c r="J473" s="26"/>
      <c r="K473" s="27"/>
    </row>
    <row r="474" customFormat="false" ht="15" hidden="false" customHeight="false" outlineLevel="0" collapsed="false">
      <c r="A474" s="20" t="str">
        <f aca="false">IF(C474="","",ROW()-12)</f>
        <v/>
      </c>
      <c r="B474" s="21" t="str">
        <f aca="false">IF(C474="","",WORKDAY($C$5-1,A474,'NSE Holidays'!$A$5:$A$64))</f>
        <v/>
      </c>
      <c r="C474" s="22" t="str">
        <f aca="false">IF(C473="","",IF(OR(IF(ISNUMBER(G473),H473,F473)&gt;=$C$7,IF(ISNUMBER(G473),H473,F473)&lt;=0),"",IF(ISNUMBER(G473),H473,F473)))</f>
        <v/>
      </c>
      <c r="D474" s="22" t="str">
        <f aca="false">IF(C474="","",ROUND(C474*$C$8,2))</f>
        <v/>
      </c>
      <c r="E474" s="22" t="str">
        <f aca="false">IF(C474="","",ROUND(C474*$C$9,2))</f>
        <v/>
      </c>
      <c r="F474" s="22" t="str">
        <f aca="false">IF(C474="","",C474+D474)</f>
        <v/>
      </c>
      <c r="G474" s="23" t="str">
        <f aca="false">IF(OR(C474="",NOT(ISNUMBER(H474))),"",ROUND(H474-C474,2))</f>
        <v/>
      </c>
      <c r="H474" s="24"/>
      <c r="I474" s="25" t="str">
        <f aca="false">IF(C474="","",IF(ISNUMBER(G474),IF(G474&lt;-E474,"Actual – Loss (limit breached)",IF(G474&lt;0,"Actual – Loss",IF(G474&gt;0,"Actual – Profit","Actual – No trade"))),"Projection"))</f>
        <v/>
      </c>
      <c r="J474" s="26"/>
      <c r="K474" s="27"/>
    </row>
    <row r="475" customFormat="false" ht="15" hidden="false" customHeight="false" outlineLevel="0" collapsed="false">
      <c r="A475" s="20" t="str">
        <f aca="false">IF(C475="","",ROW()-12)</f>
        <v/>
      </c>
      <c r="B475" s="21" t="str">
        <f aca="false">IF(C475="","",WORKDAY($C$5-1,A475,'NSE Holidays'!$A$5:$A$64))</f>
        <v/>
      </c>
      <c r="C475" s="22" t="str">
        <f aca="false">IF(C474="","",IF(OR(IF(ISNUMBER(G474),H474,F474)&gt;=$C$7,IF(ISNUMBER(G474),H474,F474)&lt;=0),"",IF(ISNUMBER(G474),H474,F474)))</f>
        <v/>
      </c>
      <c r="D475" s="22" t="str">
        <f aca="false">IF(C475="","",ROUND(C475*$C$8,2))</f>
        <v/>
      </c>
      <c r="E475" s="22" t="str">
        <f aca="false">IF(C475="","",ROUND(C475*$C$9,2))</f>
        <v/>
      </c>
      <c r="F475" s="22" t="str">
        <f aca="false">IF(C475="","",C475+D475)</f>
        <v/>
      </c>
      <c r="G475" s="23" t="str">
        <f aca="false">IF(OR(C475="",NOT(ISNUMBER(H475))),"",ROUND(H475-C475,2))</f>
        <v/>
      </c>
      <c r="H475" s="24"/>
      <c r="I475" s="25" t="str">
        <f aca="false">IF(C475="","",IF(ISNUMBER(G475),IF(G475&lt;-E475,"Actual – Loss (limit breached)",IF(G475&lt;0,"Actual – Loss",IF(G475&gt;0,"Actual – Profit","Actual – No trade"))),"Projection"))</f>
        <v/>
      </c>
      <c r="J475" s="26"/>
      <c r="K475" s="27"/>
    </row>
    <row r="476" customFormat="false" ht="15" hidden="false" customHeight="false" outlineLevel="0" collapsed="false">
      <c r="A476" s="20" t="str">
        <f aca="false">IF(C476="","",ROW()-12)</f>
        <v/>
      </c>
      <c r="B476" s="21" t="str">
        <f aca="false">IF(C476="","",WORKDAY($C$5-1,A476,'NSE Holidays'!$A$5:$A$64))</f>
        <v/>
      </c>
      <c r="C476" s="22" t="str">
        <f aca="false">IF(C475="","",IF(OR(IF(ISNUMBER(G475),H475,F475)&gt;=$C$7,IF(ISNUMBER(G475),H475,F475)&lt;=0),"",IF(ISNUMBER(G475),H475,F475)))</f>
        <v/>
      </c>
      <c r="D476" s="22" t="str">
        <f aca="false">IF(C476="","",ROUND(C476*$C$8,2))</f>
        <v/>
      </c>
      <c r="E476" s="22" t="str">
        <f aca="false">IF(C476="","",ROUND(C476*$C$9,2))</f>
        <v/>
      </c>
      <c r="F476" s="22" t="str">
        <f aca="false">IF(C476="","",C476+D476)</f>
        <v/>
      </c>
      <c r="G476" s="23" t="str">
        <f aca="false">IF(OR(C476="",NOT(ISNUMBER(H476))),"",ROUND(H476-C476,2))</f>
        <v/>
      </c>
      <c r="H476" s="24"/>
      <c r="I476" s="25" t="str">
        <f aca="false">IF(C476="","",IF(ISNUMBER(G476),IF(G476&lt;-E476,"Actual – Loss (limit breached)",IF(G476&lt;0,"Actual – Loss",IF(G476&gt;0,"Actual – Profit","Actual – No trade"))),"Projection"))</f>
        <v/>
      </c>
      <c r="J476" s="26"/>
      <c r="K476" s="27"/>
    </row>
    <row r="477" customFormat="false" ht="15" hidden="false" customHeight="false" outlineLevel="0" collapsed="false">
      <c r="A477" s="20" t="str">
        <f aca="false">IF(C477="","",ROW()-12)</f>
        <v/>
      </c>
      <c r="B477" s="21" t="str">
        <f aca="false">IF(C477="","",WORKDAY($C$5-1,A477,'NSE Holidays'!$A$5:$A$64))</f>
        <v/>
      </c>
      <c r="C477" s="22" t="str">
        <f aca="false">IF(C476="","",IF(OR(IF(ISNUMBER(G476),H476,F476)&gt;=$C$7,IF(ISNUMBER(G476),H476,F476)&lt;=0),"",IF(ISNUMBER(G476),H476,F476)))</f>
        <v/>
      </c>
      <c r="D477" s="22" t="str">
        <f aca="false">IF(C477="","",ROUND(C477*$C$8,2))</f>
        <v/>
      </c>
      <c r="E477" s="22" t="str">
        <f aca="false">IF(C477="","",ROUND(C477*$C$9,2))</f>
        <v/>
      </c>
      <c r="F477" s="22" t="str">
        <f aca="false">IF(C477="","",C477+D477)</f>
        <v/>
      </c>
      <c r="G477" s="23" t="str">
        <f aca="false">IF(OR(C477="",NOT(ISNUMBER(H477))),"",ROUND(H477-C477,2))</f>
        <v/>
      </c>
      <c r="H477" s="24"/>
      <c r="I477" s="25" t="str">
        <f aca="false">IF(C477="","",IF(ISNUMBER(G477),IF(G477&lt;-E477,"Actual – Loss (limit breached)",IF(G477&lt;0,"Actual – Loss",IF(G477&gt;0,"Actual – Profit","Actual – No trade"))),"Projection"))</f>
        <v/>
      </c>
      <c r="J477" s="26"/>
      <c r="K477" s="27"/>
    </row>
    <row r="478" customFormat="false" ht="15" hidden="false" customHeight="false" outlineLevel="0" collapsed="false">
      <c r="A478" s="20" t="str">
        <f aca="false">IF(C478="","",ROW()-12)</f>
        <v/>
      </c>
      <c r="B478" s="21" t="str">
        <f aca="false">IF(C478="","",WORKDAY($C$5-1,A478,'NSE Holidays'!$A$5:$A$64))</f>
        <v/>
      </c>
      <c r="C478" s="22" t="str">
        <f aca="false">IF(C477="","",IF(OR(IF(ISNUMBER(G477),H477,F477)&gt;=$C$7,IF(ISNUMBER(G477),H477,F477)&lt;=0),"",IF(ISNUMBER(G477),H477,F477)))</f>
        <v/>
      </c>
      <c r="D478" s="22" t="str">
        <f aca="false">IF(C478="","",ROUND(C478*$C$8,2))</f>
        <v/>
      </c>
      <c r="E478" s="22" t="str">
        <f aca="false">IF(C478="","",ROUND(C478*$C$9,2))</f>
        <v/>
      </c>
      <c r="F478" s="22" t="str">
        <f aca="false">IF(C478="","",C478+D478)</f>
        <v/>
      </c>
      <c r="G478" s="23" t="str">
        <f aca="false">IF(OR(C478="",NOT(ISNUMBER(H478))),"",ROUND(H478-C478,2))</f>
        <v/>
      </c>
      <c r="H478" s="24"/>
      <c r="I478" s="25" t="str">
        <f aca="false">IF(C478="","",IF(ISNUMBER(G478),IF(G478&lt;-E478,"Actual – Loss (limit breached)",IF(G478&lt;0,"Actual – Loss",IF(G478&gt;0,"Actual – Profit","Actual – No trade"))),"Projection"))</f>
        <v/>
      </c>
      <c r="J478" s="26"/>
      <c r="K478" s="27"/>
    </row>
    <row r="479" customFormat="false" ht="15" hidden="false" customHeight="false" outlineLevel="0" collapsed="false">
      <c r="A479" s="20" t="str">
        <f aca="false">IF(C479="","",ROW()-12)</f>
        <v/>
      </c>
      <c r="B479" s="21" t="str">
        <f aca="false">IF(C479="","",WORKDAY($C$5-1,A479,'NSE Holidays'!$A$5:$A$64))</f>
        <v/>
      </c>
      <c r="C479" s="22" t="str">
        <f aca="false">IF(C478="","",IF(OR(IF(ISNUMBER(G478),H478,F478)&gt;=$C$7,IF(ISNUMBER(G478),H478,F478)&lt;=0),"",IF(ISNUMBER(G478),H478,F478)))</f>
        <v/>
      </c>
      <c r="D479" s="22" t="str">
        <f aca="false">IF(C479="","",ROUND(C479*$C$8,2))</f>
        <v/>
      </c>
      <c r="E479" s="22" t="str">
        <f aca="false">IF(C479="","",ROUND(C479*$C$9,2))</f>
        <v/>
      </c>
      <c r="F479" s="22" t="str">
        <f aca="false">IF(C479="","",C479+D479)</f>
        <v/>
      </c>
      <c r="G479" s="23" t="str">
        <f aca="false">IF(OR(C479="",NOT(ISNUMBER(H479))),"",ROUND(H479-C479,2))</f>
        <v/>
      </c>
      <c r="H479" s="24"/>
      <c r="I479" s="25" t="str">
        <f aca="false">IF(C479="","",IF(ISNUMBER(G479),IF(G479&lt;-E479,"Actual – Loss (limit breached)",IF(G479&lt;0,"Actual – Loss",IF(G479&gt;0,"Actual – Profit","Actual – No trade"))),"Projection"))</f>
        <v/>
      </c>
      <c r="J479" s="26"/>
      <c r="K479" s="27"/>
    </row>
    <row r="480" customFormat="false" ht="15" hidden="false" customHeight="false" outlineLevel="0" collapsed="false">
      <c r="A480" s="20" t="str">
        <f aca="false">IF(C480="","",ROW()-12)</f>
        <v/>
      </c>
      <c r="B480" s="21" t="str">
        <f aca="false">IF(C480="","",WORKDAY($C$5-1,A480,'NSE Holidays'!$A$5:$A$64))</f>
        <v/>
      </c>
      <c r="C480" s="22" t="str">
        <f aca="false">IF(C479="","",IF(OR(IF(ISNUMBER(G479),H479,F479)&gt;=$C$7,IF(ISNUMBER(G479),H479,F479)&lt;=0),"",IF(ISNUMBER(G479),H479,F479)))</f>
        <v/>
      </c>
      <c r="D480" s="22" t="str">
        <f aca="false">IF(C480="","",ROUND(C480*$C$8,2))</f>
        <v/>
      </c>
      <c r="E480" s="22" t="str">
        <f aca="false">IF(C480="","",ROUND(C480*$C$9,2))</f>
        <v/>
      </c>
      <c r="F480" s="22" t="str">
        <f aca="false">IF(C480="","",C480+D480)</f>
        <v/>
      </c>
      <c r="G480" s="23" t="str">
        <f aca="false">IF(OR(C480="",NOT(ISNUMBER(H480))),"",ROUND(H480-C480,2))</f>
        <v/>
      </c>
      <c r="H480" s="24"/>
      <c r="I480" s="25" t="str">
        <f aca="false">IF(C480="","",IF(ISNUMBER(G480),IF(G480&lt;-E480,"Actual – Loss (limit breached)",IF(G480&lt;0,"Actual – Loss",IF(G480&gt;0,"Actual – Profit","Actual – No trade"))),"Projection"))</f>
        <v/>
      </c>
      <c r="J480" s="26"/>
      <c r="K480" s="27"/>
    </row>
    <row r="481" customFormat="false" ht="15" hidden="false" customHeight="false" outlineLevel="0" collapsed="false">
      <c r="A481" s="20" t="str">
        <f aca="false">IF(C481="","",ROW()-12)</f>
        <v/>
      </c>
      <c r="B481" s="21" t="str">
        <f aca="false">IF(C481="","",WORKDAY($C$5-1,A481,'NSE Holidays'!$A$5:$A$64))</f>
        <v/>
      </c>
      <c r="C481" s="22" t="str">
        <f aca="false">IF(C480="","",IF(OR(IF(ISNUMBER(G480),H480,F480)&gt;=$C$7,IF(ISNUMBER(G480),H480,F480)&lt;=0),"",IF(ISNUMBER(G480),H480,F480)))</f>
        <v/>
      </c>
      <c r="D481" s="22" t="str">
        <f aca="false">IF(C481="","",ROUND(C481*$C$8,2))</f>
        <v/>
      </c>
      <c r="E481" s="22" t="str">
        <f aca="false">IF(C481="","",ROUND(C481*$C$9,2))</f>
        <v/>
      </c>
      <c r="F481" s="22" t="str">
        <f aca="false">IF(C481="","",C481+D481)</f>
        <v/>
      </c>
      <c r="G481" s="23" t="str">
        <f aca="false">IF(OR(C481="",NOT(ISNUMBER(H481))),"",ROUND(H481-C481,2))</f>
        <v/>
      </c>
      <c r="H481" s="24"/>
      <c r="I481" s="25" t="str">
        <f aca="false">IF(C481="","",IF(ISNUMBER(G481),IF(G481&lt;-E481,"Actual – Loss (limit breached)",IF(G481&lt;0,"Actual – Loss",IF(G481&gt;0,"Actual – Profit","Actual – No trade"))),"Projection"))</f>
        <v/>
      </c>
      <c r="J481" s="26"/>
      <c r="K481" s="27"/>
    </row>
    <row r="482" customFormat="false" ht="15" hidden="false" customHeight="false" outlineLevel="0" collapsed="false">
      <c r="A482" s="20" t="str">
        <f aca="false">IF(C482="","",ROW()-12)</f>
        <v/>
      </c>
      <c r="B482" s="21" t="str">
        <f aca="false">IF(C482="","",WORKDAY($C$5-1,A482,'NSE Holidays'!$A$5:$A$64))</f>
        <v/>
      </c>
      <c r="C482" s="22" t="str">
        <f aca="false">IF(C481="","",IF(OR(IF(ISNUMBER(G481),H481,F481)&gt;=$C$7,IF(ISNUMBER(G481),H481,F481)&lt;=0),"",IF(ISNUMBER(G481),H481,F481)))</f>
        <v/>
      </c>
      <c r="D482" s="22" t="str">
        <f aca="false">IF(C482="","",ROUND(C482*$C$8,2))</f>
        <v/>
      </c>
      <c r="E482" s="22" t="str">
        <f aca="false">IF(C482="","",ROUND(C482*$C$9,2))</f>
        <v/>
      </c>
      <c r="F482" s="22" t="str">
        <f aca="false">IF(C482="","",C482+D482)</f>
        <v/>
      </c>
      <c r="G482" s="23" t="str">
        <f aca="false">IF(OR(C482="",NOT(ISNUMBER(H482))),"",ROUND(H482-C482,2))</f>
        <v/>
      </c>
      <c r="H482" s="24"/>
      <c r="I482" s="25" t="str">
        <f aca="false">IF(C482="","",IF(ISNUMBER(G482),IF(G482&lt;-E482,"Actual – Loss (limit breached)",IF(G482&lt;0,"Actual – Loss",IF(G482&gt;0,"Actual – Profit","Actual – No trade"))),"Projection"))</f>
        <v/>
      </c>
      <c r="J482" s="26"/>
      <c r="K482" s="27"/>
    </row>
    <row r="483" customFormat="false" ht="15" hidden="false" customHeight="false" outlineLevel="0" collapsed="false">
      <c r="A483" s="20" t="str">
        <f aca="false">IF(C483="","",ROW()-12)</f>
        <v/>
      </c>
      <c r="B483" s="21" t="str">
        <f aca="false">IF(C483="","",WORKDAY($C$5-1,A483,'NSE Holidays'!$A$5:$A$64))</f>
        <v/>
      </c>
      <c r="C483" s="22" t="str">
        <f aca="false">IF(C482="","",IF(OR(IF(ISNUMBER(G482),H482,F482)&gt;=$C$7,IF(ISNUMBER(G482),H482,F482)&lt;=0),"",IF(ISNUMBER(G482),H482,F482)))</f>
        <v/>
      </c>
      <c r="D483" s="22" t="str">
        <f aca="false">IF(C483="","",ROUND(C483*$C$8,2))</f>
        <v/>
      </c>
      <c r="E483" s="22" t="str">
        <f aca="false">IF(C483="","",ROUND(C483*$C$9,2))</f>
        <v/>
      </c>
      <c r="F483" s="22" t="str">
        <f aca="false">IF(C483="","",C483+D483)</f>
        <v/>
      </c>
      <c r="G483" s="23" t="str">
        <f aca="false">IF(OR(C483="",NOT(ISNUMBER(H483))),"",ROUND(H483-C483,2))</f>
        <v/>
      </c>
      <c r="H483" s="24"/>
      <c r="I483" s="25" t="str">
        <f aca="false">IF(C483="","",IF(ISNUMBER(G483),IF(G483&lt;-E483,"Actual – Loss (limit breached)",IF(G483&lt;0,"Actual – Loss",IF(G483&gt;0,"Actual – Profit","Actual – No trade"))),"Projection"))</f>
        <v/>
      </c>
      <c r="J483" s="26"/>
      <c r="K483" s="27"/>
    </row>
    <row r="484" customFormat="false" ht="15" hidden="false" customHeight="false" outlineLevel="0" collapsed="false">
      <c r="A484" s="20" t="str">
        <f aca="false">IF(C484="","",ROW()-12)</f>
        <v/>
      </c>
      <c r="B484" s="21" t="str">
        <f aca="false">IF(C484="","",WORKDAY($C$5-1,A484,'NSE Holidays'!$A$5:$A$64))</f>
        <v/>
      </c>
      <c r="C484" s="22" t="str">
        <f aca="false">IF(C483="","",IF(OR(IF(ISNUMBER(G483),H483,F483)&gt;=$C$7,IF(ISNUMBER(G483),H483,F483)&lt;=0),"",IF(ISNUMBER(G483),H483,F483)))</f>
        <v/>
      </c>
      <c r="D484" s="22" t="str">
        <f aca="false">IF(C484="","",ROUND(C484*$C$8,2))</f>
        <v/>
      </c>
      <c r="E484" s="22" t="str">
        <f aca="false">IF(C484="","",ROUND(C484*$C$9,2))</f>
        <v/>
      </c>
      <c r="F484" s="22" t="str">
        <f aca="false">IF(C484="","",C484+D484)</f>
        <v/>
      </c>
      <c r="G484" s="23" t="str">
        <f aca="false">IF(OR(C484="",NOT(ISNUMBER(H484))),"",ROUND(H484-C484,2))</f>
        <v/>
      </c>
      <c r="H484" s="24"/>
      <c r="I484" s="25" t="str">
        <f aca="false">IF(C484="","",IF(ISNUMBER(G484),IF(G484&lt;-E484,"Actual – Loss (limit breached)",IF(G484&lt;0,"Actual – Loss",IF(G484&gt;0,"Actual – Profit","Actual – No trade"))),"Projection"))</f>
        <v/>
      </c>
      <c r="J484" s="26"/>
      <c r="K484" s="27"/>
    </row>
    <row r="485" customFormat="false" ht="15" hidden="false" customHeight="false" outlineLevel="0" collapsed="false">
      <c r="A485" s="20" t="str">
        <f aca="false">IF(C485="","",ROW()-12)</f>
        <v/>
      </c>
      <c r="B485" s="21" t="str">
        <f aca="false">IF(C485="","",WORKDAY($C$5-1,A485,'NSE Holidays'!$A$5:$A$64))</f>
        <v/>
      </c>
      <c r="C485" s="22" t="str">
        <f aca="false">IF(C484="","",IF(OR(IF(ISNUMBER(G484),H484,F484)&gt;=$C$7,IF(ISNUMBER(G484),H484,F484)&lt;=0),"",IF(ISNUMBER(G484),H484,F484)))</f>
        <v/>
      </c>
      <c r="D485" s="22" t="str">
        <f aca="false">IF(C485="","",ROUND(C485*$C$8,2))</f>
        <v/>
      </c>
      <c r="E485" s="22" t="str">
        <f aca="false">IF(C485="","",ROUND(C485*$C$9,2))</f>
        <v/>
      </c>
      <c r="F485" s="22" t="str">
        <f aca="false">IF(C485="","",C485+D485)</f>
        <v/>
      </c>
      <c r="G485" s="23" t="str">
        <f aca="false">IF(OR(C485="",NOT(ISNUMBER(H485))),"",ROUND(H485-C485,2))</f>
        <v/>
      </c>
      <c r="H485" s="24"/>
      <c r="I485" s="25" t="str">
        <f aca="false">IF(C485="","",IF(ISNUMBER(G485),IF(G485&lt;-E485,"Actual – Loss (limit breached)",IF(G485&lt;0,"Actual – Loss",IF(G485&gt;0,"Actual – Profit","Actual – No trade"))),"Projection"))</f>
        <v/>
      </c>
      <c r="J485" s="26"/>
      <c r="K485" s="27"/>
    </row>
    <row r="486" customFormat="false" ht="15" hidden="false" customHeight="false" outlineLevel="0" collapsed="false">
      <c r="A486" s="20" t="str">
        <f aca="false">IF(C486="","",ROW()-12)</f>
        <v/>
      </c>
      <c r="B486" s="21" t="str">
        <f aca="false">IF(C486="","",WORKDAY($C$5-1,A486,'NSE Holidays'!$A$5:$A$64))</f>
        <v/>
      </c>
      <c r="C486" s="22" t="str">
        <f aca="false">IF(C485="","",IF(OR(IF(ISNUMBER(G485),H485,F485)&gt;=$C$7,IF(ISNUMBER(G485),H485,F485)&lt;=0),"",IF(ISNUMBER(G485),H485,F485)))</f>
        <v/>
      </c>
      <c r="D486" s="22" t="str">
        <f aca="false">IF(C486="","",ROUND(C486*$C$8,2))</f>
        <v/>
      </c>
      <c r="E486" s="22" t="str">
        <f aca="false">IF(C486="","",ROUND(C486*$C$9,2))</f>
        <v/>
      </c>
      <c r="F486" s="22" t="str">
        <f aca="false">IF(C486="","",C486+D486)</f>
        <v/>
      </c>
      <c r="G486" s="23" t="str">
        <f aca="false">IF(OR(C486="",NOT(ISNUMBER(H486))),"",ROUND(H486-C486,2))</f>
        <v/>
      </c>
      <c r="H486" s="24"/>
      <c r="I486" s="25" t="str">
        <f aca="false">IF(C486="","",IF(ISNUMBER(G486),IF(G486&lt;-E486,"Actual – Loss (limit breached)",IF(G486&lt;0,"Actual – Loss",IF(G486&gt;0,"Actual – Profit","Actual – No trade"))),"Projection"))</f>
        <v/>
      </c>
      <c r="J486" s="26"/>
      <c r="K486" s="27"/>
    </row>
    <row r="487" customFormat="false" ht="15" hidden="false" customHeight="false" outlineLevel="0" collapsed="false">
      <c r="A487" s="20" t="str">
        <f aca="false">IF(C487="","",ROW()-12)</f>
        <v/>
      </c>
      <c r="B487" s="21" t="str">
        <f aca="false">IF(C487="","",WORKDAY($C$5-1,A487,'NSE Holidays'!$A$5:$A$64))</f>
        <v/>
      </c>
      <c r="C487" s="22" t="str">
        <f aca="false">IF(C486="","",IF(OR(IF(ISNUMBER(G486),H486,F486)&gt;=$C$7,IF(ISNUMBER(G486),H486,F486)&lt;=0),"",IF(ISNUMBER(G486),H486,F486)))</f>
        <v/>
      </c>
      <c r="D487" s="22" t="str">
        <f aca="false">IF(C487="","",ROUND(C487*$C$8,2))</f>
        <v/>
      </c>
      <c r="E487" s="22" t="str">
        <f aca="false">IF(C487="","",ROUND(C487*$C$9,2))</f>
        <v/>
      </c>
      <c r="F487" s="22" t="str">
        <f aca="false">IF(C487="","",C487+D487)</f>
        <v/>
      </c>
      <c r="G487" s="23" t="str">
        <f aca="false">IF(OR(C487="",NOT(ISNUMBER(H487))),"",ROUND(H487-C487,2))</f>
        <v/>
      </c>
      <c r="H487" s="24"/>
      <c r="I487" s="25" t="str">
        <f aca="false">IF(C487="","",IF(ISNUMBER(G487),IF(G487&lt;-E487,"Actual – Loss (limit breached)",IF(G487&lt;0,"Actual – Loss",IF(G487&gt;0,"Actual – Profit","Actual – No trade"))),"Projection"))</f>
        <v/>
      </c>
      <c r="J487" s="26"/>
      <c r="K487" s="27"/>
    </row>
    <row r="488" customFormat="false" ht="15" hidden="false" customHeight="false" outlineLevel="0" collapsed="false">
      <c r="A488" s="20" t="str">
        <f aca="false">IF(C488="","",ROW()-12)</f>
        <v/>
      </c>
      <c r="B488" s="21" t="str">
        <f aca="false">IF(C488="","",WORKDAY($C$5-1,A488,'NSE Holidays'!$A$5:$A$64))</f>
        <v/>
      </c>
      <c r="C488" s="22" t="str">
        <f aca="false">IF(C487="","",IF(OR(IF(ISNUMBER(G487),H487,F487)&gt;=$C$7,IF(ISNUMBER(G487),H487,F487)&lt;=0),"",IF(ISNUMBER(G487),H487,F487)))</f>
        <v/>
      </c>
      <c r="D488" s="22" t="str">
        <f aca="false">IF(C488="","",ROUND(C488*$C$8,2))</f>
        <v/>
      </c>
      <c r="E488" s="22" t="str">
        <f aca="false">IF(C488="","",ROUND(C488*$C$9,2))</f>
        <v/>
      </c>
      <c r="F488" s="22" t="str">
        <f aca="false">IF(C488="","",C488+D488)</f>
        <v/>
      </c>
      <c r="G488" s="23" t="str">
        <f aca="false">IF(OR(C488="",NOT(ISNUMBER(H488))),"",ROUND(H488-C488,2))</f>
        <v/>
      </c>
      <c r="H488" s="24"/>
      <c r="I488" s="25" t="str">
        <f aca="false">IF(C488="","",IF(ISNUMBER(G488),IF(G488&lt;-E488,"Actual – Loss (limit breached)",IF(G488&lt;0,"Actual – Loss",IF(G488&gt;0,"Actual – Profit","Actual – No trade"))),"Projection"))</f>
        <v/>
      </c>
      <c r="J488" s="26"/>
      <c r="K488" s="27"/>
    </row>
    <row r="489" customFormat="false" ht="15" hidden="false" customHeight="false" outlineLevel="0" collapsed="false">
      <c r="A489" s="20" t="str">
        <f aca="false">IF(C489="","",ROW()-12)</f>
        <v/>
      </c>
      <c r="B489" s="21" t="str">
        <f aca="false">IF(C489="","",WORKDAY($C$5-1,A489,'NSE Holidays'!$A$5:$A$64))</f>
        <v/>
      </c>
      <c r="C489" s="22" t="str">
        <f aca="false">IF(C488="","",IF(OR(IF(ISNUMBER(G488),H488,F488)&gt;=$C$7,IF(ISNUMBER(G488),H488,F488)&lt;=0),"",IF(ISNUMBER(G488),H488,F488)))</f>
        <v/>
      </c>
      <c r="D489" s="22" t="str">
        <f aca="false">IF(C489="","",ROUND(C489*$C$8,2))</f>
        <v/>
      </c>
      <c r="E489" s="22" t="str">
        <f aca="false">IF(C489="","",ROUND(C489*$C$9,2))</f>
        <v/>
      </c>
      <c r="F489" s="22" t="str">
        <f aca="false">IF(C489="","",C489+D489)</f>
        <v/>
      </c>
      <c r="G489" s="23" t="str">
        <f aca="false">IF(OR(C489="",NOT(ISNUMBER(H489))),"",ROUND(H489-C489,2))</f>
        <v/>
      </c>
      <c r="H489" s="24"/>
      <c r="I489" s="25" t="str">
        <f aca="false">IF(C489="","",IF(ISNUMBER(G489),IF(G489&lt;-E489,"Actual – Loss (limit breached)",IF(G489&lt;0,"Actual – Loss",IF(G489&gt;0,"Actual – Profit","Actual – No trade"))),"Projection"))</f>
        <v/>
      </c>
      <c r="J489" s="26"/>
      <c r="K489" s="27"/>
    </row>
    <row r="490" customFormat="false" ht="15" hidden="false" customHeight="false" outlineLevel="0" collapsed="false">
      <c r="A490" s="20" t="str">
        <f aca="false">IF(C490="","",ROW()-12)</f>
        <v/>
      </c>
      <c r="B490" s="21" t="str">
        <f aca="false">IF(C490="","",WORKDAY($C$5-1,A490,'NSE Holidays'!$A$5:$A$64))</f>
        <v/>
      </c>
      <c r="C490" s="22" t="str">
        <f aca="false">IF(C489="","",IF(OR(IF(ISNUMBER(G489),H489,F489)&gt;=$C$7,IF(ISNUMBER(G489),H489,F489)&lt;=0),"",IF(ISNUMBER(G489),H489,F489)))</f>
        <v/>
      </c>
      <c r="D490" s="22" t="str">
        <f aca="false">IF(C490="","",ROUND(C490*$C$8,2))</f>
        <v/>
      </c>
      <c r="E490" s="22" t="str">
        <f aca="false">IF(C490="","",ROUND(C490*$C$9,2))</f>
        <v/>
      </c>
      <c r="F490" s="22" t="str">
        <f aca="false">IF(C490="","",C490+D490)</f>
        <v/>
      </c>
      <c r="G490" s="23" t="str">
        <f aca="false">IF(OR(C490="",NOT(ISNUMBER(H490))),"",ROUND(H490-C490,2))</f>
        <v/>
      </c>
      <c r="H490" s="24"/>
      <c r="I490" s="25" t="str">
        <f aca="false">IF(C490="","",IF(ISNUMBER(G490),IF(G490&lt;-E490,"Actual – Loss (limit breached)",IF(G490&lt;0,"Actual – Loss",IF(G490&gt;0,"Actual – Profit","Actual – No trade"))),"Projection"))</f>
        <v/>
      </c>
      <c r="J490" s="26"/>
      <c r="K490" s="27"/>
    </row>
    <row r="491" customFormat="false" ht="15" hidden="false" customHeight="false" outlineLevel="0" collapsed="false">
      <c r="A491" s="20" t="str">
        <f aca="false">IF(C491="","",ROW()-12)</f>
        <v/>
      </c>
      <c r="B491" s="21" t="str">
        <f aca="false">IF(C491="","",WORKDAY($C$5-1,A491,'NSE Holidays'!$A$5:$A$64))</f>
        <v/>
      </c>
      <c r="C491" s="22" t="str">
        <f aca="false">IF(C490="","",IF(OR(IF(ISNUMBER(G490),H490,F490)&gt;=$C$7,IF(ISNUMBER(G490),H490,F490)&lt;=0),"",IF(ISNUMBER(G490),H490,F490)))</f>
        <v/>
      </c>
      <c r="D491" s="22" t="str">
        <f aca="false">IF(C491="","",ROUND(C491*$C$8,2))</f>
        <v/>
      </c>
      <c r="E491" s="22" t="str">
        <f aca="false">IF(C491="","",ROUND(C491*$C$9,2))</f>
        <v/>
      </c>
      <c r="F491" s="22" t="str">
        <f aca="false">IF(C491="","",C491+D491)</f>
        <v/>
      </c>
      <c r="G491" s="23" t="str">
        <f aca="false">IF(OR(C491="",NOT(ISNUMBER(H491))),"",ROUND(H491-C491,2))</f>
        <v/>
      </c>
      <c r="H491" s="24"/>
      <c r="I491" s="25" t="str">
        <f aca="false">IF(C491="","",IF(ISNUMBER(G491),IF(G491&lt;-E491,"Actual – Loss (limit breached)",IF(G491&lt;0,"Actual – Loss",IF(G491&gt;0,"Actual – Profit","Actual – No trade"))),"Projection"))</f>
        <v/>
      </c>
      <c r="J491" s="26"/>
      <c r="K491" s="27"/>
    </row>
    <row r="492" customFormat="false" ht="15" hidden="false" customHeight="false" outlineLevel="0" collapsed="false">
      <c r="A492" s="20" t="str">
        <f aca="false">IF(C492="","",ROW()-12)</f>
        <v/>
      </c>
      <c r="B492" s="21" t="str">
        <f aca="false">IF(C492="","",WORKDAY($C$5-1,A492,'NSE Holidays'!$A$5:$A$64))</f>
        <v/>
      </c>
      <c r="C492" s="22" t="str">
        <f aca="false">IF(C491="","",IF(OR(IF(ISNUMBER(G491),H491,F491)&gt;=$C$7,IF(ISNUMBER(G491),H491,F491)&lt;=0),"",IF(ISNUMBER(G491),H491,F491)))</f>
        <v/>
      </c>
      <c r="D492" s="22" t="str">
        <f aca="false">IF(C492="","",ROUND(C492*$C$8,2))</f>
        <v/>
      </c>
      <c r="E492" s="22" t="str">
        <f aca="false">IF(C492="","",ROUND(C492*$C$9,2))</f>
        <v/>
      </c>
      <c r="F492" s="22" t="str">
        <f aca="false">IF(C492="","",C492+D492)</f>
        <v/>
      </c>
      <c r="G492" s="23" t="str">
        <f aca="false">IF(OR(C492="",NOT(ISNUMBER(H492))),"",ROUND(H492-C492,2))</f>
        <v/>
      </c>
      <c r="H492" s="24"/>
      <c r="I492" s="25" t="str">
        <f aca="false">IF(C492="","",IF(ISNUMBER(G492),IF(G492&lt;-E492,"Actual – Loss (limit breached)",IF(G492&lt;0,"Actual – Loss",IF(G492&gt;0,"Actual – Profit","Actual – No trade"))),"Projection"))</f>
        <v/>
      </c>
      <c r="J492" s="26"/>
      <c r="K492" s="27"/>
    </row>
    <row r="493" customFormat="false" ht="15" hidden="false" customHeight="false" outlineLevel="0" collapsed="false">
      <c r="A493" s="20" t="str">
        <f aca="false">IF(C493="","",ROW()-12)</f>
        <v/>
      </c>
      <c r="B493" s="21" t="str">
        <f aca="false">IF(C493="","",WORKDAY($C$5-1,A493,'NSE Holidays'!$A$5:$A$64))</f>
        <v/>
      </c>
      <c r="C493" s="22" t="str">
        <f aca="false">IF(C492="","",IF(OR(IF(ISNUMBER(G492),H492,F492)&gt;=$C$7,IF(ISNUMBER(G492),H492,F492)&lt;=0),"",IF(ISNUMBER(G492),H492,F492)))</f>
        <v/>
      </c>
      <c r="D493" s="22" t="str">
        <f aca="false">IF(C493="","",ROUND(C493*$C$8,2))</f>
        <v/>
      </c>
      <c r="E493" s="22" t="str">
        <f aca="false">IF(C493="","",ROUND(C493*$C$9,2))</f>
        <v/>
      </c>
      <c r="F493" s="22" t="str">
        <f aca="false">IF(C493="","",C493+D493)</f>
        <v/>
      </c>
      <c r="G493" s="23" t="str">
        <f aca="false">IF(OR(C493="",NOT(ISNUMBER(H493))),"",ROUND(H493-C493,2))</f>
        <v/>
      </c>
      <c r="H493" s="24"/>
      <c r="I493" s="25" t="str">
        <f aca="false">IF(C493="","",IF(ISNUMBER(G493),IF(G493&lt;-E493,"Actual – Loss (limit breached)",IF(G493&lt;0,"Actual – Loss",IF(G493&gt;0,"Actual – Profit","Actual – No trade"))),"Projection"))</f>
        <v/>
      </c>
      <c r="J493" s="26"/>
      <c r="K493" s="27"/>
    </row>
    <row r="494" customFormat="false" ht="15" hidden="false" customHeight="false" outlineLevel="0" collapsed="false">
      <c r="A494" s="20" t="str">
        <f aca="false">IF(C494="","",ROW()-12)</f>
        <v/>
      </c>
      <c r="B494" s="21" t="str">
        <f aca="false">IF(C494="","",WORKDAY($C$5-1,A494,'NSE Holidays'!$A$5:$A$64))</f>
        <v/>
      </c>
      <c r="C494" s="22" t="str">
        <f aca="false">IF(C493="","",IF(OR(IF(ISNUMBER(G493),H493,F493)&gt;=$C$7,IF(ISNUMBER(G493),H493,F493)&lt;=0),"",IF(ISNUMBER(G493),H493,F493)))</f>
        <v/>
      </c>
      <c r="D494" s="22" t="str">
        <f aca="false">IF(C494="","",ROUND(C494*$C$8,2))</f>
        <v/>
      </c>
      <c r="E494" s="22" t="str">
        <f aca="false">IF(C494="","",ROUND(C494*$C$9,2))</f>
        <v/>
      </c>
      <c r="F494" s="22" t="str">
        <f aca="false">IF(C494="","",C494+D494)</f>
        <v/>
      </c>
      <c r="G494" s="23" t="str">
        <f aca="false">IF(OR(C494="",NOT(ISNUMBER(H494))),"",ROUND(H494-C494,2))</f>
        <v/>
      </c>
      <c r="H494" s="24"/>
      <c r="I494" s="25" t="str">
        <f aca="false">IF(C494="","",IF(ISNUMBER(G494),IF(G494&lt;-E494,"Actual – Loss (limit breached)",IF(G494&lt;0,"Actual – Loss",IF(G494&gt;0,"Actual – Profit","Actual – No trade"))),"Projection"))</f>
        <v/>
      </c>
      <c r="J494" s="26"/>
      <c r="K494" s="27"/>
    </row>
    <row r="495" customFormat="false" ht="15" hidden="false" customHeight="false" outlineLevel="0" collapsed="false">
      <c r="A495" s="20" t="str">
        <f aca="false">IF(C495="","",ROW()-12)</f>
        <v/>
      </c>
      <c r="B495" s="21" t="str">
        <f aca="false">IF(C495="","",WORKDAY($C$5-1,A495,'NSE Holidays'!$A$5:$A$64))</f>
        <v/>
      </c>
      <c r="C495" s="22" t="str">
        <f aca="false">IF(C494="","",IF(OR(IF(ISNUMBER(G494),H494,F494)&gt;=$C$7,IF(ISNUMBER(G494),H494,F494)&lt;=0),"",IF(ISNUMBER(G494),H494,F494)))</f>
        <v/>
      </c>
      <c r="D495" s="22" t="str">
        <f aca="false">IF(C495="","",ROUND(C495*$C$8,2))</f>
        <v/>
      </c>
      <c r="E495" s="22" t="str">
        <f aca="false">IF(C495="","",ROUND(C495*$C$9,2))</f>
        <v/>
      </c>
      <c r="F495" s="22" t="str">
        <f aca="false">IF(C495="","",C495+D495)</f>
        <v/>
      </c>
      <c r="G495" s="23" t="str">
        <f aca="false">IF(OR(C495="",NOT(ISNUMBER(H495))),"",ROUND(H495-C495,2))</f>
        <v/>
      </c>
      <c r="H495" s="24"/>
      <c r="I495" s="25" t="str">
        <f aca="false">IF(C495="","",IF(ISNUMBER(G495),IF(G495&lt;-E495,"Actual – Loss (limit breached)",IF(G495&lt;0,"Actual – Loss",IF(G495&gt;0,"Actual – Profit","Actual – No trade"))),"Projection"))</f>
        <v/>
      </c>
      <c r="J495" s="26"/>
      <c r="K495" s="27"/>
    </row>
    <row r="496" customFormat="false" ht="15" hidden="false" customHeight="false" outlineLevel="0" collapsed="false">
      <c r="A496" s="20" t="str">
        <f aca="false">IF(C496="","",ROW()-12)</f>
        <v/>
      </c>
      <c r="B496" s="21" t="str">
        <f aca="false">IF(C496="","",WORKDAY($C$5-1,A496,'NSE Holidays'!$A$5:$A$64))</f>
        <v/>
      </c>
      <c r="C496" s="22" t="str">
        <f aca="false">IF(C495="","",IF(OR(IF(ISNUMBER(G495),H495,F495)&gt;=$C$7,IF(ISNUMBER(G495),H495,F495)&lt;=0),"",IF(ISNUMBER(G495),H495,F495)))</f>
        <v/>
      </c>
      <c r="D496" s="22" t="str">
        <f aca="false">IF(C496="","",ROUND(C496*$C$8,2))</f>
        <v/>
      </c>
      <c r="E496" s="22" t="str">
        <f aca="false">IF(C496="","",ROUND(C496*$C$9,2))</f>
        <v/>
      </c>
      <c r="F496" s="22" t="str">
        <f aca="false">IF(C496="","",C496+D496)</f>
        <v/>
      </c>
      <c r="G496" s="23" t="str">
        <f aca="false">IF(OR(C496="",NOT(ISNUMBER(H496))),"",ROUND(H496-C496,2))</f>
        <v/>
      </c>
      <c r="H496" s="24"/>
      <c r="I496" s="25" t="str">
        <f aca="false">IF(C496="","",IF(ISNUMBER(G496),IF(G496&lt;-E496,"Actual – Loss (limit breached)",IF(G496&lt;0,"Actual – Loss",IF(G496&gt;0,"Actual – Profit","Actual – No trade"))),"Projection"))</f>
        <v/>
      </c>
      <c r="J496" s="26"/>
      <c r="K496" s="27"/>
    </row>
    <row r="497" customFormat="false" ht="15" hidden="false" customHeight="false" outlineLevel="0" collapsed="false">
      <c r="A497" s="20" t="str">
        <f aca="false">IF(C497="","",ROW()-12)</f>
        <v/>
      </c>
      <c r="B497" s="21" t="str">
        <f aca="false">IF(C497="","",WORKDAY($C$5-1,A497,'NSE Holidays'!$A$5:$A$64))</f>
        <v/>
      </c>
      <c r="C497" s="22" t="str">
        <f aca="false">IF(C496="","",IF(OR(IF(ISNUMBER(G496),H496,F496)&gt;=$C$7,IF(ISNUMBER(G496),H496,F496)&lt;=0),"",IF(ISNUMBER(G496),H496,F496)))</f>
        <v/>
      </c>
      <c r="D497" s="22" t="str">
        <f aca="false">IF(C497="","",ROUND(C497*$C$8,2))</f>
        <v/>
      </c>
      <c r="E497" s="22" t="str">
        <f aca="false">IF(C497="","",ROUND(C497*$C$9,2))</f>
        <v/>
      </c>
      <c r="F497" s="22" t="str">
        <f aca="false">IF(C497="","",C497+D497)</f>
        <v/>
      </c>
      <c r="G497" s="23" t="str">
        <f aca="false">IF(OR(C497="",NOT(ISNUMBER(H497))),"",ROUND(H497-C497,2))</f>
        <v/>
      </c>
      <c r="H497" s="24"/>
      <c r="I497" s="25" t="str">
        <f aca="false">IF(C497="","",IF(ISNUMBER(G497),IF(G497&lt;-E497,"Actual – Loss (limit breached)",IF(G497&lt;0,"Actual – Loss",IF(G497&gt;0,"Actual – Profit","Actual – No trade"))),"Projection"))</f>
        <v/>
      </c>
      <c r="J497" s="26"/>
      <c r="K497" s="27"/>
    </row>
    <row r="498" customFormat="false" ht="15" hidden="false" customHeight="false" outlineLevel="0" collapsed="false">
      <c r="A498" s="20" t="str">
        <f aca="false">IF(C498="","",ROW()-12)</f>
        <v/>
      </c>
      <c r="B498" s="21" t="str">
        <f aca="false">IF(C498="","",WORKDAY($C$5-1,A498,'NSE Holidays'!$A$5:$A$64))</f>
        <v/>
      </c>
      <c r="C498" s="22" t="str">
        <f aca="false">IF(C497="","",IF(OR(IF(ISNUMBER(G497),H497,F497)&gt;=$C$7,IF(ISNUMBER(G497),H497,F497)&lt;=0),"",IF(ISNUMBER(G497),H497,F497)))</f>
        <v/>
      </c>
      <c r="D498" s="22" t="str">
        <f aca="false">IF(C498="","",ROUND(C498*$C$8,2))</f>
        <v/>
      </c>
      <c r="E498" s="22" t="str">
        <f aca="false">IF(C498="","",ROUND(C498*$C$9,2))</f>
        <v/>
      </c>
      <c r="F498" s="22" t="str">
        <f aca="false">IF(C498="","",C498+D498)</f>
        <v/>
      </c>
      <c r="G498" s="23" t="str">
        <f aca="false">IF(OR(C498="",NOT(ISNUMBER(H498))),"",ROUND(H498-C498,2))</f>
        <v/>
      </c>
      <c r="H498" s="24"/>
      <c r="I498" s="25" t="str">
        <f aca="false">IF(C498="","",IF(ISNUMBER(G498),IF(G498&lt;-E498,"Actual – Loss (limit breached)",IF(G498&lt;0,"Actual – Loss",IF(G498&gt;0,"Actual – Profit","Actual – No trade"))),"Projection"))</f>
        <v/>
      </c>
      <c r="J498" s="26"/>
      <c r="K498" s="27"/>
    </row>
    <row r="499" customFormat="false" ht="15" hidden="false" customHeight="false" outlineLevel="0" collapsed="false">
      <c r="A499" s="20" t="str">
        <f aca="false">IF(C499="","",ROW()-12)</f>
        <v/>
      </c>
      <c r="B499" s="21" t="str">
        <f aca="false">IF(C499="","",WORKDAY($C$5-1,A499,'NSE Holidays'!$A$5:$A$64))</f>
        <v/>
      </c>
      <c r="C499" s="22" t="str">
        <f aca="false">IF(C498="","",IF(OR(IF(ISNUMBER(G498),H498,F498)&gt;=$C$7,IF(ISNUMBER(G498),H498,F498)&lt;=0),"",IF(ISNUMBER(G498),H498,F498)))</f>
        <v/>
      </c>
      <c r="D499" s="22" t="str">
        <f aca="false">IF(C499="","",ROUND(C499*$C$8,2))</f>
        <v/>
      </c>
      <c r="E499" s="22" t="str">
        <f aca="false">IF(C499="","",ROUND(C499*$C$9,2))</f>
        <v/>
      </c>
      <c r="F499" s="22" t="str">
        <f aca="false">IF(C499="","",C499+D499)</f>
        <v/>
      </c>
      <c r="G499" s="23" t="str">
        <f aca="false">IF(OR(C499="",NOT(ISNUMBER(H499))),"",ROUND(H499-C499,2))</f>
        <v/>
      </c>
      <c r="H499" s="24"/>
      <c r="I499" s="25" t="str">
        <f aca="false">IF(C499="","",IF(ISNUMBER(G499),IF(G499&lt;-E499,"Actual – Loss (limit breached)",IF(G499&lt;0,"Actual – Loss",IF(G499&gt;0,"Actual – Profit","Actual – No trade"))),"Projection"))</f>
        <v/>
      </c>
      <c r="J499" s="26"/>
      <c r="K499" s="27"/>
    </row>
    <row r="500" customFormat="false" ht="15" hidden="false" customHeight="false" outlineLevel="0" collapsed="false">
      <c r="A500" s="20" t="str">
        <f aca="false">IF(C500="","",ROW()-12)</f>
        <v/>
      </c>
      <c r="B500" s="21" t="str">
        <f aca="false">IF(C500="","",WORKDAY($C$5-1,A500,'NSE Holidays'!$A$5:$A$64))</f>
        <v/>
      </c>
      <c r="C500" s="22" t="str">
        <f aca="false">IF(C499="","",IF(OR(IF(ISNUMBER(G499),H499,F499)&gt;=$C$7,IF(ISNUMBER(G499),H499,F499)&lt;=0),"",IF(ISNUMBER(G499),H499,F499)))</f>
        <v/>
      </c>
      <c r="D500" s="22" t="str">
        <f aca="false">IF(C500="","",ROUND(C500*$C$8,2))</f>
        <v/>
      </c>
      <c r="E500" s="22" t="str">
        <f aca="false">IF(C500="","",ROUND(C500*$C$9,2))</f>
        <v/>
      </c>
      <c r="F500" s="22" t="str">
        <f aca="false">IF(C500="","",C500+D500)</f>
        <v/>
      </c>
      <c r="G500" s="23" t="str">
        <f aca="false">IF(OR(C500="",NOT(ISNUMBER(H500))),"",ROUND(H500-C500,2))</f>
        <v/>
      </c>
      <c r="H500" s="24"/>
      <c r="I500" s="25" t="str">
        <f aca="false">IF(C500="","",IF(ISNUMBER(G500),IF(G500&lt;-E500,"Actual – Loss (limit breached)",IF(G500&lt;0,"Actual – Loss",IF(G500&gt;0,"Actual – Profit","Actual – No trade"))),"Projection"))</f>
        <v/>
      </c>
      <c r="J500" s="26"/>
      <c r="K500" s="27"/>
    </row>
    <row r="501" customFormat="false" ht="15" hidden="false" customHeight="false" outlineLevel="0" collapsed="false">
      <c r="A501" s="20" t="str">
        <f aca="false">IF(C501="","",ROW()-12)</f>
        <v/>
      </c>
      <c r="B501" s="21" t="str">
        <f aca="false">IF(C501="","",WORKDAY($C$5-1,A501,'NSE Holidays'!$A$5:$A$64))</f>
        <v/>
      </c>
      <c r="C501" s="22" t="str">
        <f aca="false">IF(C500="","",IF(OR(IF(ISNUMBER(G500),H500,F500)&gt;=$C$7,IF(ISNUMBER(G500),H500,F500)&lt;=0),"",IF(ISNUMBER(G500),H500,F500)))</f>
        <v/>
      </c>
      <c r="D501" s="22" t="str">
        <f aca="false">IF(C501="","",ROUND(C501*$C$8,2))</f>
        <v/>
      </c>
      <c r="E501" s="22" t="str">
        <f aca="false">IF(C501="","",ROUND(C501*$C$9,2))</f>
        <v/>
      </c>
      <c r="F501" s="22" t="str">
        <f aca="false">IF(C501="","",C501+D501)</f>
        <v/>
      </c>
      <c r="G501" s="23" t="str">
        <f aca="false">IF(OR(C501="",NOT(ISNUMBER(H501))),"",ROUND(H501-C501,2))</f>
        <v/>
      </c>
      <c r="H501" s="24"/>
      <c r="I501" s="25" t="str">
        <f aca="false">IF(C501="","",IF(ISNUMBER(G501),IF(G501&lt;-E501,"Actual – Loss (limit breached)",IF(G501&lt;0,"Actual – Loss",IF(G501&gt;0,"Actual – Profit","Actual – No trade"))),"Projection"))</f>
        <v/>
      </c>
      <c r="J501" s="26"/>
      <c r="K501" s="27"/>
    </row>
    <row r="502" customFormat="false" ht="15" hidden="false" customHeight="false" outlineLevel="0" collapsed="false">
      <c r="A502" s="20" t="str">
        <f aca="false">IF(C502="","",ROW()-12)</f>
        <v/>
      </c>
      <c r="B502" s="21" t="str">
        <f aca="false">IF(C502="","",WORKDAY($C$5-1,A502,'NSE Holidays'!$A$5:$A$64))</f>
        <v/>
      </c>
      <c r="C502" s="22" t="str">
        <f aca="false">IF(C501="","",IF(OR(IF(ISNUMBER(G501),H501,F501)&gt;=$C$7,IF(ISNUMBER(G501),H501,F501)&lt;=0),"",IF(ISNUMBER(G501),H501,F501)))</f>
        <v/>
      </c>
      <c r="D502" s="22" t="str">
        <f aca="false">IF(C502="","",ROUND(C502*$C$8,2))</f>
        <v/>
      </c>
      <c r="E502" s="22" t="str">
        <f aca="false">IF(C502="","",ROUND(C502*$C$9,2))</f>
        <v/>
      </c>
      <c r="F502" s="22" t="str">
        <f aca="false">IF(C502="","",C502+D502)</f>
        <v/>
      </c>
      <c r="G502" s="23" t="str">
        <f aca="false">IF(OR(C502="",NOT(ISNUMBER(H502))),"",ROUND(H502-C502,2))</f>
        <v/>
      </c>
      <c r="H502" s="24"/>
      <c r="I502" s="25" t="str">
        <f aca="false">IF(C502="","",IF(ISNUMBER(G502),IF(G502&lt;-E502,"Actual – Loss (limit breached)",IF(G502&lt;0,"Actual – Loss",IF(G502&gt;0,"Actual – Profit","Actual – No trade"))),"Projection"))</f>
        <v/>
      </c>
      <c r="J502" s="26"/>
      <c r="K502" s="27"/>
    </row>
    <row r="503" customFormat="false" ht="15" hidden="false" customHeight="false" outlineLevel="0" collapsed="false">
      <c r="A503" s="20" t="str">
        <f aca="false">IF(C503="","",ROW()-12)</f>
        <v/>
      </c>
      <c r="B503" s="21" t="str">
        <f aca="false">IF(C503="","",WORKDAY($C$5-1,A503,'NSE Holidays'!$A$5:$A$64))</f>
        <v/>
      </c>
      <c r="C503" s="22" t="str">
        <f aca="false">IF(C502="","",IF(OR(IF(ISNUMBER(G502),H502,F502)&gt;=$C$7,IF(ISNUMBER(G502),H502,F502)&lt;=0),"",IF(ISNUMBER(G502),H502,F502)))</f>
        <v/>
      </c>
      <c r="D503" s="22" t="str">
        <f aca="false">IF(C503="","",ROUND(C503*$C$8,2))</f>
        <v/>
      </c>
      <c r="E503" s="22" t="str">
        <f aca="false">IF(C503="","",ROUND(C503*$C$9,2))</f>
        <v/>
      </c>
      <c r="F503" s="22" t="str">
        <f aca="false">IF(C503="","",C503+D503)</f>
        <v/>
      </c>
      <c r="G503" s="23" t="str">
        <f aca="false">IF(OR(C503="",NOT(ISNUMBER(H503))),"",ROUND(H503-C503,2))</f>
        <v/>
      </c>
      <c r="H503" s="24"/>
      <c r="I503" s="25" t="str">
        <f aca="false">IF(C503="","",IF(ISNUMBER(G503),IF(G503&lt;-E503,"Actual – Loss (limit breached)",IF(G503&lt;0,"Actual – Loss",IF(G503&gt;0,"Actual – Profit","Actual – No trade"))),"Projection"))</f>
        <v/>
      </c>
      <c r="J503" s="26"/>
      <c r="K503" s="27"/>
    </row>
    <row r="504" customFormat="false" ht="15" hidden="false" customHeight="false" outlineLevel="0" collapsed="false">
      <c r="A504" s="20" t="str">
        <f aca="false">IF(C504="","",ROW()-12)</f>
        <v/>
      </c>
      <c r="B504" s="21" t="str">
        <f aca="false">IF(C504="","",WORKDAY($C$5-1,A504,'NSE Holidays'!$A$5:$A$64))</f>
        <v/>
      </c>
      <c r="C504" s="22" t="str">
        <f aca="false">IF(C503="","",IF(OR(IF(ISNUMBER(G503),H503,F503)&gt;=$C$7,IF(ISNUMBER(G503),H503,F503)&lt;=0),"",IF(ISNUMBER(G503),H503,F503)))</f>
        <v/>
      </c>
      <c r="D504" s="22" t="str">
        <f aca="false">IF(C504="","",ROUND(C504*$C$8,2))</f>
        <v/>
      </c>
      <c r="E504" s="22" t="str">
        <f aca="false">IF(C504="","",ROUND(C504*$C$9,2))</f>
        <v/>
      </c>
      <c r="F504" s="22" t="str">
        <f aca="false">IF(C504="","",C504+D504)</f>
        <v/>
      </c>
      <c r="G504" s="23" t="str">
        <f aca="false">IF(OR(C504="",NOT(ISNUMBER(H504))),"",ROUND(H504-C504,2))</f>
        <v/>
      </c>
      <c r="H504" s="24"/>
      <c r="I504" s="25" t="str">
        <f aca="false">IF(C504="","",IF(ISNUMBER(G504),IF(G504&lt;-E504,"Actual – Loss (limit breached)",IF(G504&lt;0,"Actual – Loss",IF(G504&gt;0,"Actual – Profit","Actual – No trade"))),"Projection"))</f>
        <v/>
      </c>
      <c r="J504" s="26"/>
      <c r="K504" s="27"/>
    </row>
    <row r="505" customFormat="false" ht="15" hidden="false" customHeight="false" outlineLevel="0" collapsed="false">
      <c r="A505" s="20" t="str">
        <f aca="false">IF(C505="","",ROW()-12)</f>
        <v/>
      </c>
      <c r="B505" s="21" t="str">
        <f aca="false">IF(C505="","",WORKDAY($C$5-1,A505,'NSE Holidays'!$A$5:$A$64))</f>
        <v/>
      </c>
      <c r="C505" s="22" t="str">
        <f aca="false">IF(C504="","",IF(OR(IF(ISNUMBER(G504),H504,F504)&gt;=$C$7,IF(ISNUMBER(G504),H504,F504)&lt;=0),"",IF(ISNUMBER(G504),H504,F504)))</f>
        <v/>
      </c>
      <c r="D505" s="22" t="str">
        <f aca="false">IF(C505="","",ROUND(C505*$C$8,2))</f>
        <v/>
      </c>
      <c r="E505" s="22" t="str">
        <f aca="false">IF(C505="","",ROUND(C505*$C$9,2))</f>
        <v/>
      </c>
      <c r="F505" s="22" t="str">
        <f aca="false">IF(C505="","",C505+D505)</f>
        <v/>
      </c>
      <c r="G505" s="23" t="str">
        <f aca="false">IF(OR(C505="",NOT(ISNUMBER(H505))),"",ROUND(H505-C505,2))</f>
        <v/>
      </c>
      <c r="H505" s="24"/>
      <c r="I505" s="25" t="str">
        <f aca="false">IF(C505="","",IF(ISNUMBER(G505),IF(G505&lt;-E505,"Actual – Loss (limit breached)",IF(G505&lt;0,"Actual – Loss",IF(G505&gt;0,"Actual – Profit","Actual – No trade"))),"Projection"))</f>
        <v/>
      </c>
      <c r="J505" s="26"/>
      <c r="K505" s="27"/>
    </row>
    <row r="506" customFormat="false" ht="15" hidden="false" customHeight="false" outlineLevel="0" collapsed="false">
      <c r="A506" s="20" t="str">
        <f aca="false">IF(C506="","",ROW()-12)</f>
        <v/>
      </c>
      <c r="B506" s="21" t="str">
        <f aca="false">IF(C506="","",WORKDAY($C$5-1,A506,'NSE Holidays'!$A$5:$A$64))</f>
        <v/>
      </c>
      <c r="C506" s="22" t="str">
        <f aca="false">IF(C505="","",IF(OR(IF(ISNUMBER(G505),H505,F505)&gt;=$C$7,IF(ISNUMBER(G505),H505,F505)&lt;=0),"",IF(ISNUMBER(G505),H505,F505)))</f>
        <v/>
      </c>
      <c r="D506" s="22" t="str">
        <f aca="false">IF(C506="","",ROUND(C506*$C$8,2))</f>
        <v/>
      </c>
      <c r="E506" s="22" t="str">
        <f aca="false">IF(C506="","",ROUND(C506*$C$9,2))</f>
        <v/>
      </c>
      <c r="F506" s="22" t="str">
        <f aca="false">IF(C506="","",C506+D506)</f>
        <v/>
      </c>
      <c r="G506" s="23" t="str">
        <f aca="false">IF(OR(C506="",NOT(ISNUMBER(H506))),"",ROUND(H506-C506,2))</f>
        <v/>
      </c>
      <c r="H506" s="24"/>
      <c r="I506" s="25" t="str">
        <f aca="false">IF(C506="","",IF(ISNUMBER(G506),IF(G506&lt;-E506,"Actual – Loss (limit breached)",IF(G506&lt;0,"Actual – Loss",IF(G506&gt;0,"Actual – Profit","Actual – No trade"))),"Projection"))</f>
        <v/>
      </c>
      <c r="J506" s="26"/>
      <c r="K506" s="27"/>
    </row>
    <row r="507" customFormat="false" ht="15" hidden="false" customHeight="false" outlineLevel="0" collapsed="false">
      <c r="A507" s="20" t="str">
        <f aca="false">IF(C507="","",ROW()-12)</f>
        <v/>
      </c>
      <c r="B507" s="21" t="str">
        <f aca="false">IF(C507="","",WORKDAY($C$5-1,A507,'NSE Holidays'!$A$5:$A$64))</f>
        <v/>
      </c>
      <c r="C507" s="22" t="str">
        <f aca="false">IF(C506="","",IF(OR(IF(ISNUMBER(G506),H506,F506)&gt;=$C$7,IF(ISNUMBER(G506),H506,F506)&lt;=0),"",IF(ISNUMBER(G506),H506,F506)))</f>
        <v/>
      </c>
      <c r="D507" s="22" t="str">
        <f aca="false">IF(C507="","",ROUND(C507*$C$8,2))</f>
        <v/>
      </c>
      <c r="E507" s="22" t="str">
        <f aca="false">IF(C507="","",ROUND(C507*$C$9,2))</f>
        <v/>
      </c>
      <c r="F507" s="22" t="str">
        <f aca="false">IF(C507="","",C507+D507)</f>
        <v/>
      </c>
      <c r="G507" s="23" t="str">
        <f aca="false">IF(OR(C507="",NOT(ISNUMBER(H507))),"",ROUND(H507-C507,2))</f>
        <v/>
      </c>
      <c r="H507" s="24"/>
      <c r="I507" s="25" t="str">
        <f aca="false">IF(C507="","",IF(ISNUMBER(G507),IF(G507&lt;-E507,"Actual – Loss (limit breached)",IF(G507&lt;0,"Actual – Loss",IF(G507&gt;0,"Actual – Profit","Actual – No trade"))),"Projection"))</f>
        <v/>
      </c>
      <c r="J507" s="26"/>
      <c r="K507" s="27"/>
    </row>
    <row r="508" customFormat="false" ht="15" hidden="false" customHeight="false" outlineLevel="0" collapsed="false">
      <c r="A508" s="20" t="str">
        <f aca="false">IF(C508="","",ROW()-12)</f>
        <v/>
      </c>
      <c r="B508" s="21" t="str">
        <f aca="false">IF(C508="","",WORKDAY($C$5-1,A508,'NSE Holidays'!$A$5:$A$64))</f>
        <v/>
      </c>
      <c r="C508" s="22" t="str">
        <f aca="false">IF(C507="","",IF(OR(IF(ISNUMBER(G507),H507,F507)&gt;=$C$7,IF(ISNUMBER(G507),H507,F507)&lt;=0),"",IF(ISNUMBER(G507),H507,F507)))</f>
        <v/>
      </c>
      <c r="D508" s="22" t="str">
        <f aca="false">IF(C508="","",ROUND(C508*$C$8,2))</f>
        <v/>
      </c>
      <c r="E508" s="22" t="str">
        <f aca="false">IF(C508="","",ROUND(C508*$C$9,2))</f>
        <v/>
      </c>
      <c r="F508" s="22" t="str">
        <f aca="false">IF(C508="","",C508+D508)</f>
        <v/>
      </c>
      <c r="G508" s="23" t="str">
        <f aca="false">IF(OR(C508="",NOT(ISNUMBER(H508))),"",ROUND(H508-C508,2))</f>
        <v/>
      </c>
      <c r="H508" s="24"/>
      <c r="I508" s="25" t="str">
        <f aca="false">IF(C508="","",IF(ISNUMBER(G508),IF(G508&lt;-E508,"Actual – Loss (limit breached)",IF(G508&lt;0,"Actual – Loss",IF(G508&gt;0,"Actual – Profit","Actual – No trade"))),"Projection"))</f>
        <v/>
      </c>
      <c r="J508" s="26"/>
      <c r="K508" s="27"/>
    </row>
    <row r="509" customFormat="false" ht="15" hidden="false" customHeight="false" outlineLevel="0" collapsed="false">
      <c r="A509" s="20" t="str">
        <f aca="false">IF(C509="","",ROW()-12)</f>
        <v/>
      </c>
      <c r="B509" s="21" t="str">
        <f aca="false">IF(C509="","",WORKDAY($C$5-1,A509,'NSE Holidays'!$A$5:$A$64))</f>
        <v/>
      </c>
      <c r="C509" s="22" t="str">
        <f aca="false">IF(C508="","",IF(OR(IF(ISNUMBER(G508),H508,F508)&gt;=$C$7,IF(ISNUMBER(G508),H508,F508)&lt;=0),"",IF(ISNUMBER(G508),H508,F508)))</f>
        <v/>
      </c>
      <c r="D509" s="22" t="str">
        <f aca="false">IF(C509="","",ROUND(C509*$C$8,2))</f>
        <v/>
      </c>
      <c r="E509" s="22" t="str">
        <f aca="false">IF(C509="","",ROUND(C509*$C$9,2))</f>
        <v/>
      </c>
      <c r="F509" s="22" t="str">
        <f aca="false">IF(C509="","",C509+D509)</f>
        <v/>
      </c>
      <c r="G509" s="23" t="str">
        <f aca="false">IF(OR(C509="",NOT(ISNUMBER(H509))),"",ROUND(H509-C509,2))</f>
        <v/>
      </c>
      <c r="H509" s="24"/>
      <c r="I509" s="25" t="str">
        <f aca="false">IF(C509="","",IF(ISNUMBER(G509),IF(G509&lt;-E509,"Actual – Loss (limit breached)",IF(G509&lt;0,"Actual – Loss",IF(G509&gt;0,"Actual – Profit","Actual – No trade"))),"Projection"))</f>
        <v/>
      </c>
      <c r="J509" s="26"/>
      <c r="K509" s="27"/>
    </row>
    <row r="510" customFormat="false" ht="15" hidden="false" customHeight="false" outlineLevel="0" collapsed="false">
      <c r="A510" s="20" t="str">
        <f aca="false">IF(C510="","",ROW()-12)</f>
        <v/>
      </c>
      <c r="B510" s="21" t="str">
        <f aca="false">IF(C510="","",WORKDAY($C$5-1,A510,'NSE Holidays'!$A$5:$A$64))</f>
        <v/>
      </c>
      <c r="C510" s="22" t="str">
        <f aca="false">IF(C509="","",IF(OR(IF(ISNUMBER(G509),H509,F509)&gt;=$C$7,IF(ISNUMBER(G509),H509,F509)&lt;=0),"",IF(ISNUMBER(G509),H509,F509)))</f>
        <v/>
      </c>
      <c r="D510" s="22" t="str">
        <f aca="false">IF(C510="","",ROUND(C510*$C$8,2))</f>
        <v/>
      </c>
      <c r="E510" s="22" t="str">
        <f aca="false">IF(C510="","",ROUND(C510*$C$9,2))</f>
        <v/>
      </c>
      <c r="F510" s="22" t="str">
        <f aca="false">IF(C510="","",C510+D510)</f>
        <v/>
      </c>
      <c r="G510" s="23" t="str">
        <f aca="false">IF(OR(C510="",NOT(ISNUMBER(H510))),"",ROUND(H510-C510,2))</f>
        <v/>
      </c>
      <c r="H510" s="24"/>
      <c r="I510" s="25" t="str">
        <f aca="false">IF(C510="","",IF(ISNUMBER(G510),IF(G510&lt;-E510,"Actual – Loss (limit breached)",IF(G510&lt;0,"Actual – Loss",IF(G510&gt;0,"Actual – Profit","Actual – No trade"))),"Projection"))</f>
        <v/>
      </c>
      <c r="J510" s="26"/>
      <c r="K510" s="27"/>
    </row>
    <row r="511" customFormat="false" ht="15" hidden="false" customHeight="false" outlineLevel="0" collapsed="false">
      <c r="A511" s="20" t="str">
        <f aca="false">IF(C511="","",ROW()-12)</f>
        <v/>
      </c>
      <c r="B511" s="21" t="str">
        <f aca="false">IF(C511="","",WORKDAY($C$5-1,A511,'NSE Holidays'!$A$5:$A$64))</f>
        <v/>
      </c>
      <c r="C511" s="22" t="str">
        <f aca="false">IF(C510="","",IF(OR(IF(ISNUMBER(G510),H510,F510)&gt;=$C$7,IF(ISNUMBER(G510),H510,F510)&lt;=0),"",IF(ISNUMBER(G510),H510,F510)))</f>
        <v/>
      </c>
      <c r="D511" s="22" t="str">
        <f aca="false">IF(C511="","",ROUND(C511*$C$8,2))</f>
        <v/>
      </c>
      <c r="E511" s="22" t="str">
        <f aca="false">IF(C511="","",ROUND(C511*$C$9,2))</f>
        <v/>
      </c>
      <c r="F511" s="22" t="str">
        <f aca="false">IF(C511="","",C511+D511)</f>
        <v/>
      </c>
      <c r="G511" s="23" t="str">
        <f aca="false">IF(OR(C511="",NOT(ISNUMBER(H511))),"",ROUND(H511-C511,2))</f>
        <v/>
      </c>
      <c r="H511" s="24"/>
      <c r="I511" s="25" t="str">
        <f aca="false">IF(C511="","",IF(ISNUMBER(G511),IF(G511&lt;-E511,"Actual – Loss (limit breached)",IF(G511&lt;0,"Actual – Loss",IF(G511&gt;0,"Actual – Profit","Actual – No trade"))),"Projection"))</f>
        <v/>
      </c>
      <c r="J511" s="26"/>
      <c r="K511" s="27"/>
    </row>
    <row r="512" customFormat="false" ht="15" hidden="false" customHeight="false" outlineLevel="0" collapsed="false">
      <c r="A512" s="20" t="str">
        <f aca="false">IF(C512="","",ROW()-12)</f>
        <v/>
      </c>
      <c r="B512" s="21" t="str">
        <f aca="false">IF(C512="","",WORKDAY($C$5-1,A512,'NSE Holidays'!$A$5:$A$64))</f>
        <v/>
      </c>
      <c r="C512" s="22" t="str">
        <f aca="false">IF(C511="","",IF(OR(IF(ISNUMBER(G511),H511,F511)&gt;=$C$7,IF(ISNUMBER(G511),H511,F511)&lt;=0),"",IF(ISNUMBER(G511),H511,F511)))</f>
        <v/>
      </c>
      <c r="D512" s="22" t="str">
        <f aca="false">IF(C512="","",ROUND(C512*$C$8,2))</f>
        <v/>
      </c>
      <c r="E512" s="22" t="str">
        <f aca="false">IF(C512="","",ROUND(C512*$C$9,2))</f>
        <v/>
      </c>
      <c r="F512" s="22" t="str">
        <f aca="false">IF(C512="","",C512+D512)</f>
        <v/>
      </c>
      <c r="G512" s="23" t="str">
        <f aca="false">IF(OR(C512="",NOT(ISNUMBER(H512))),"",ROUND(H512-C512,2))</f>
        <v/>
      </c>
      <c r="H512" s="24"/>
      <c r="I512" s="25" t="str">
        <f aca="false">IF(C512="","",IF(ISNUMBER(G512),IF(G512&lt;-E512,"Actual – Loss (limit breached)",IF(G512&lt;0,"Actual – Loss",IF(G512&gt;0,"Actual – Profit","Actual – No trade"))),"Projection"))</f>
        <v/>
      </c>
      <c r="J512" s="26"/>
      <c r="K512" s="27"/>
    </row>
  </sheetData>
  <mergeCells count="21">
    <mergeCell ref="A2:K2"/>
    <mergeCell ref="A4:C4"/>
    <mergeCell ref="E4:J4"/>
    <mergeCell ref="A5:B5"/>
    <mergeCell ref="E5:F5"/>
    <mergeCell ref="H5:I5"/>
    <mergeCell ref="A6:B6"/>
    <mergeCell ref="E6:F6"/>
    <mergeCell ref="H6:I6"/>
    <mergeCell ref="A7:B7"/>
    <mergeCell ref="E7:F7"/>
    <mergeCell ref="H7:I7"/>
    <mergeCell ref="A8:B8"/>
    <mergeCell ref="E8:F8"/>
    <mergeCell ref="H8:I8"/>
    <mergeCell ref="A9:B9"/>
    <mergeCell ref="E9:F9"/>
    <mergeCell ref="H9:I9"/>
    <mergeCell ref="E10:F10"/>
    <mergeCell ref="H10:I10"/>
    <mergeCell ref="A11:K11"/>
  </mergeCells>
  <conditionalFormatting sqref="G10">
    <cfRule type="expression" priority="2" aboveAverage="0" equalAverage="0" bottom="0" percent="0" rank="0" text="" dxfId="0">
      <formula>AND(ISNUMBER($G$10),$G$10&lt;0)</formula>
    </cfRule>
    <cfRule type="expression" priority="3" aboveAverage="0" equalAverage="0" bottom="0" percent="0" rank="0" text="" dxfId="1">
      <formula>AND(ISNUMBER($G$10),$G$10&gt;0)</formula>
    </cfRule>
  </conditionalFormatting>
  <conditionalFormatting sqref="J10">
    <cfRule type="expression" priority="4" aboveAverage="0" equalAverage="0" bottom="0" percent="0" rank="0" text="" dxfId="0">
      <formula>AND(ISNUMBER($J$10),$J$10&lt;0)</formula>
    </cfRule>
    <cfRule type="expression" priority="5" aboveAverage="0" equalAverage="0" bottom="0" percent="0" rank="0" text="" dxfId="1">
      <formula>AND(ISNUMBER($J$10),$J$10&gt;0)</formula>
    </cfRule>
  </conditionalFormatting>
  <conditionalFormatting sqref="H13:H512">
    <cfRule type="expression" priority="6" aboveAverage="0" equalAverage="0" bottom="0" percent="0" rank="0" text="" dxfId="2">
      <formula>$C13&lt;&gt;""</formula>
    </cfRule>
  </conditionalFormatting>
  <conditionalFormatting sqref="J13:K512">
    <cfRule type="expression" priority="7" aboveAverage="0" equalAverage="0" bottom="0" percent="0" rank="0" text="" dxfId="2">
      <formula>$C13&lt;&gt;""</formula>
    </cfRule>
  </conditionalFormatting>
  <conditionalFormatting sqref="G13:G512">
    <cfRule type="expression" priority="8" aboveAverage="0" equalAverage="0" bottom="0" percent="0" rank="0" text="" dxfId="3">
      <formula>AND(ISNUMBER($G13),$G13&lt;0)</formula>
    </cfRule>
    <cfRule type="expression" priority="9" aboveAverage="0" equalAverage="0" bottom="0" percent="0" rank="0" text="" dxfId="4">
      <formula>ISNUMBER($G13)</formula>
    </cfRule>
  </conditionalFormatting>
  <conditionalFormatting sqref="I13:I512">
    <cfRule type="expression" priority="10" aboveAverage="0" equalAverage="0" bottom="0" percent="0" rank="0" text="" dxfId="3">
      <formula>LEFT($I13,13)="Actual – Loss"</formula>
    </cfRule>
    <cfRule type="expression" priority="11" aboveAverage="0" equalAverage="0" bottom="0" percent="0" rank="0" text="" dxfId="4">
      <formula>LEFT($I13,6)="Actual"</formula>
    </cfRule>
  </conditionalFormatting>
  <conditionalFormatting sqref="A13:F512 I13:I512">
    <cfRule type="expression" priority="12" aboveAverage="0" equalAverage="0" bottom="0" percent="0" rank="0" text="" dxfId="5">
      <formula>$I13="Projection"</formula>
    </cfRule>
  </conditionalFormatting>
  <conditionalFormatting sqref="A13:K512">
    <cfRule type="expression" priority="13" aboveAverage="0" equalAverage="0" bottom="0" percent="0" rank="0" text="" dxfId="6">
      <formula>$C13&lt;&gt;""</formula>
    </cfRule>
  </conditionalFormatting>
  <conditionalFormatting sqref="J5">
    <cfRule type="dataBar" priority="14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{8C8C80AA-CCB2-413C-B138-1BBD7A94702A}</x14:id>
        </ext>
      </extLst>
    </cfRule>
  </conditionalFormatting>
  <dataValidations count="3">
    <dataValidation allowBlank="true" error="Enter your account balance at the end of the day (a number, 0 or more) — only on a listed day." errorStyle="stop" errorTitle="Closing Balance" operator="between" prompt="Type the balance at the end of the day. No trade = same as opening capital. Leave blank for future days." promptTitle="Closing Balance" showDropDown="false" showErrorMessage="true" showInputMessage="true" sqref="H13:H512" type="custom">
      <formula1>AND(ISNUMBER(H13),H13&gt;=0,$C13&lt;&gt;"")</formula1>
      <formula2>0</formula2>
    </dataValidation>
    <dataValidation allowBlank="true" error="Pick ✔ from the list, or press Delete to clear." errorStyle="stop" errorTitle="Done?" operator="between" showDropDown="false" showErrorMessage="true" showInputMessage="false" sqref="J13:J512" type="list">
      <formula1>"✔"</formula1>
      <formula2>0</formula2>
    </dataValidation>
    <dataValidation allowBlank="false" error="Enter a percentage between 0% and 100%." errorStyle="stop" operator="between" showDropDown="false" showErrorMessage="true" showInputMessage="false" sqref="C8:C9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8C80AA-CCB2-413C-B138-1BBD7A94702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J5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28" t="s">
        <v>29</v>
      </c>
    </row>
    <row r="2" customFormat="false" ht="39.75" hidden="false" customHeight="true" outlineLevel="0" collapsed="false">
      <c r="A2" s="29" t="s">
        <v>30</v>
      </c>
      <c r="B2" s="29"/>
      <c r="C2" s="29"/>
      <c r="D2" s="29"/>
    </row>
    <row r="4" customFormat="false" ht="15" hidden="false" customHeight="false" outlineLevel="0" collapsed="false">
      <c r="A4" s="30" t="s">
        <v>21</v>
      </c>
      <c r="B4" s="30" t="s">
        <v>20</v>
      </c>
      <c r="C4" s="30" t="s">
        <v>31</v>
      </c>
      <c r="D4" s="30" t="s">
        <v>32</v>
      </c>
    </row>
    <row r="5" customFormat="false" ht="15" hidden="false" customHeight="false" outlineLevel="0" collapsed="false">
      <c r="A5" s="31" t="n">
        <v>46048</v>
      </c>
      <c r="B5" s="32" t="n">
        <f aca="false">IF(A5="","",A5)</f>
        <v>46048</v>
      </c>
      <c r="C5" s="33" t="s">
        <v>33</v>
      </c>
      <c r="D5" s="34"/>
    </row>
    <row r="6" customFormat="false" ht="15" hidden="false" customHeight="false" outlineLevel="0" collapsed="false">
      <c r="A6" s="31" t="n">
        <v>46084</v>
      </c>
      <c r="B6" s="32" t="n">
        <f aca="false">IF(A6="","",A6)</f>
        <v>46084</v>
      </c>
      <c r="C6" s="33" t="s">
        <v>34</v>
      </c>
      <c r="D6" s="34"/>
    </row>
    <row r="7" customFormat="false" ht="15" hidden="false" customHeight="false" outlineLevel="0" collapsed="false">
      <c r="A7" s="31" t="n">
        <v>46107</v>
      </c>
      <c r="B7" s="32" t="n">
        <f aca="false">IF(A7="","",A7)</f>
        <v>46107</v>
      </c>
      <c r="C7" s="33" t="s">
        <v>35</v>
      </c>
      <c r="D7" s="34"/>
    </row>
    <row r="8" customFormat="false" ht="15" hidden="false" customHeight="false" outlineLevel="0" collapsed="false">
      <c r="A8" s="31" t="n">
        <v>46112</v>
      </c>
      <c r="B8" s="32" t="n">
        <f aca="false">IF(A8="","",A8)</f>
        <v>46112</v>
      </c>
      <c r="C8" s="33" t="s">
        <v>36</v>
      </c>
      <c r="D8" s="34"/>
    </row>
    <row r="9" customFormat="false" ht="15" hidden="false" customHeight="false" outlineLevel="0" collapsed="false">
      <c r="A9" s="31" t="n">
        <v>46115</v>
      </c>
      <c r="B9" s="32" t="n">
        <f aca="false">IF(A9="","",A9)</f>
        <v>46115</v>
      </c>
      <c r="C9" s="33" t="s">
        <v>37</v>
      </c>
      <c r="D9" s="34"/>
    </row>
    <row r="10" customFormat="false" ht="15" hidden="false" customHeight="false" outlineLevel="0" collapsed="false">
      <c r="A10" s="31" t="n">
        <v>46126</v>
      </c>
      <c r="B10" s="32" t="n">
        <f aca="false">IF(A10="","",A10)</f>
        <v>46126</v>
      </c>
      <c r="C10" s="33" t="s">
        <v>38</v>
      </c>
      <c r="D10" s="34"/>
    </row>
    <row r="11" customFormat="false" ht="15" hidden="false" customHeight="false" outlineLevel="0" collapsed="false">
      <c r="A11" s="31" t="n">
        <v>46143</v>
      </c>
      <c r="B11" s="32" t="n">
        <f aca="false">IF(A11="","",A11)</f>
        <v>46143</v>
      </c>
      <c r="C11" s="33" t="s">
        <v>39</v>
      </c>
      <c r="D11" s="34"/>
    </row>
    <row r="12" customFormat="false" ht="15" hidden="false" customHeight="false" outlineLevel="0" collapsed="false">
      <c r="A12" s="31" t="n">
        <v>46170</v>
      </c>
      <c r="B12" s="32" t="n">
        <f aca="false">IF(A12="","",A12)</f>
        <v>46170</v>
      </c>
      <c r="C12" s="33" t="s">
        <v>40</v>
      </c>
      <c r="D12" s="34"/>
    </row>
    <row r="13" customFormat="false" ht="15" hidden="false" customHeight="false" outlineLevel="0" collapsed="false">
      <c r="A13" s="31" t="n">
        <v>46199</v>
      </c>
      <c r="B13" s="32" t="n">
        <f aca="false">IF(A13="","",A13)</f>
        <v>46199</v>
      </c>
      <c r="C13" s="33" t="s">
        <v>41</v>
      </c>
      <c r="D13" s="34"/>
    </row>
    <row r="14" customFormat="false" ht="15" hidden="false" customHeight="false" outlineLevel="0" collapsed="false">
      <c r="A14" s="31" t="n">
        <v>46279</v>
      </c>
      <c r="B14" s="32" t="n">
        <f aca="false">IF(A14="","",A14)</f>
        <v>46279</v>
      </c>
      <c r="C14" s="33" t="s">
        <v>42</v>
      </c>
      <c r="D14" s="34"/>
    </row>
    <row r="15" customFormat="false" ht="15" hidden="false" customHeight="false" outlineLevel="0" collapsed="false">
      <c r="A15" s="31" t="n">
        <v>46297</v>
      </c>
      <c r="B15" s="32" t="n">
        <f aca="false">IF(A15="","",A15)</f>
        <v>46297</v>
      </c>
      <c r="C15" s="33" t="s">
        <v>43</v>
      </c>
      <c r="D15" s="34"/>
    </row>
    <row r="16" customFormat="false" ht="15" hidden="false" customHeight="false" outlineLevel="0" collapsed="false">
      <c r="A16" s="31" t="n">
        <v>46315</v>
      </c>
      <c r="B16" s="32" t="n">
        <f aca="false">IF(A16="","",A16)</f>
        <v>46315</v>
      </c>
      <c r="C16" s="33" t="s">
        <v>44</v>
      </c>
      <c r="D16" s="34"/>
    </row>
    <row r="17" customFormat="false" ht="15" hidden="false" customHeight="false" outlineLevel="0" collapsed="false">
      <c r="A17" s="31" t="n">
        <v>46336</v>
      </c>
      <c r="B17" s="32" t="n">
        <f aca="false">IF(A17="","",A17)</f>
        <v>46336</v>
      </c>
      <c r="C17" s="33" t="s">
        <v>45</v>
      </c>
      <c r="D17" s="34" t="s">
        <v>46</v>
      </c>
    </row>
    <row r="18" customFormat="false" ht="15" hidden="false" customHeight="false" outlineLevel="0" collapsed="false">
      <c r="A18" s="31" t="n">
        <v>46350</v>
      </c>
      <c r="B18" s="32" t="n">
        <f aca="false">IF(A18="","",A18)</f>
        <v>46350</v>
      </c>
      <c r="C18" s="33" t="s">
        <v>47</v>
      </c>
      <c r="D18" s="34"/>
    </row>
    <row r="19" customFormat="false" ht="15" hidden="false" customHeight="false" outlineLevel="0" collapsed="false">
      <c r="A19" s="31" t="n">
        <v>46381</v>
      </c>
      <c r="B19" s="32" t="n">
        <f aca="false">IF(A19="","",A19)</f>
        <v>46381</v>
      </c>
      <c r="C19" s="33" t="s">
        <v>48</v>
      </c>
      <c r="D19" s="34"/>
    </row>
    <row r="20" customFormat="false" ht="15" hidden="false" customHeight="false" outlineLevel="0" collapsed="false">
      <c r="A20" s="31" t="n">
        <v>46413</v>
      </c>
      <c r="B20" s="32" t="n">
        <f aca="false">IF(A20="","",A20)</f>
        <v>46413</v>
      </c>
      <c r="C20" s="33" t="s">
        <v>49</v>
      </c>
      <c r="D20" s="34" t="s">
        <v>50</v>
      </c>
    </row>
    <row r="21" customFormat="false" ht="15" hidden="false" customHeight="false" outlineLevel="0" collapsed="false">
      <c r="A21" s="31"/>
      <c r="B21" s="32" t="str">
        <f aca="false">IF(A21="","",A21)</f>
        <v/>
      </c>
      <c r="C21" s="33"/>
      <c r="D21" s="34"/>
    </row>
    <row r="22" customFormat="false" ht="15" hidden="false" customHeight="false" outlineLevel="0" collapsed="false">
      <c r="A22" s="31"/>
      <c r="B22" s="32" t="str">
        <f aca="false">IF(A22="","",A22)</f>
        <v/>
      </c>
      <c r="C22" s="33"/>
      <c r="D22" s="34"/>
    </row>
    <row r="23" customFormat="false" ht="15" hidden="false" customHeight="false" outlineLevel="0" collapsed="false">
      <c r="A23" s="31"/>
      <c r="B23" s="32" t="str">
        <f aca="false">IF(A23="","",A23)</f>
        <v/>
      </c>
      <c r="C23" s="33"/>
      <c r="D23" s="34"/>
    </row>
    <row r="24" customFormat="false" ht="15" hidden="false" customHeight="false" outlineLevel="0" collapsed="false">
      <c r="A24" s="31"/>
      <c r="B24" s="32" t="str">
        <f aca="false">IF(A24="","",A24)</f>
        <v/>
      </c>
      <c r="C24" s="33"/>
      <c r="D24" s="34"/>
    </row>
    <row r="25" customFormat="false" ht="15" hidden="false" customHeight="false" outlineLevel="0" collapsed="false">
      <c r="A25" s="31"/>
      <c r="B25" s="32" t="str">
        <f aca="false">IF(A25="","",A25)</f>
        <v/>
      </c>
      <c r="C25" s="33"/>
      <c r="D25" s="34"/>
    </row>
    <row r="26" customFormat="false" ht="15" hidden="false" customHeight="false" outlineLevel="0" collapsed="false">
      <c r="A26" s="31"/>
      <c r="B26" s="32" t="str">
        <f aca="false">IF(A26="","",A26)</f>
        <v/>
      </c>
      <c r="C26" s="33"/>
      <c r="D26" s="34"/>
    </row>
    <row r="27" customFormat="false" ht="15" hidden="false" customHeight="false" outlineLevel="0" collapsed="false">
      <c r="A27" s="31"/>
      <c r="B27" s="32" t="str">
        <f aca="false">IF(A27="","",A27)</f>
        <v/>
      </c>
      <c r="C27" s="33"/>
      <c r="D27" s="34"/>
    </row>
    <row r="28" customFormat="false" ht="15" hidden="false" customHeight="false" outlineLevel="0" collapsed="false">
      <c r="A28" s="31"/>
      <c r="B28" s="32" t="str">
        <f aca="false">IF(A28="","",A28)</f>
        <v/>
      </c>
      <c r="C28" s="33"/>
      <c r="D28" s="34"/>
    </row>
    <row r="29" customFormat="false" ht="15" hidden="false" customHeight="false" outlineLevel="0" collapsed="false">
      <c r="A29" s="31"/>
      <c r="B29" s="32" t="str">
        <f aca="false">IF(A29="","",A29)</f>
        <v/>
      </c>
      <c r="C29" s="33"/>
      <c r="D29" s="34"/>
    </row>
    <row r="30" customFormat="false" ht="15" hidden="false" customHeight="false" outlineLevel="0" collapsed="false">
      <c r="A30" s="31"/>
      <c r="B30" s="32" t="str">
        <f aca="false">IF(A30="","",A30)</f>
        <v/>
      </c>
      <c r="C30" s="33"/>
      <c r="D30" s="34"/>
    </row>
    <row r="31" customFormat="false" ht="15" hidden="false" customHeight="false" outlineLevel="0" collapsed="false">
      <c r="A31" s="31"/>
      <c r="B31" s="32" t="str">
        <f aca="false">IF(A31="","",A31)</f>
        <v/>
      </c>
      <c r="C31" s="33"/>
      <c r="D31" s="34"/>
    </row>
    <row r="32" customFormat="false" ht="15" hidden="false" customHeight="false" outlineLevel="0" collapsed="false">
      <c r="A32" s="31"/>
      <c r="B32" s="32" t="str">
        <f aca="false">IF(A32="","",A32)</f>
        <v/>
      </c>
      <c r="C32" s="33"/>
      <c r="D32" s="34"/>
    </row>
    <row r="33" customFormat="false" ht="15" hidden="false" customHeight="false" outlineLevel="0" collapsed="false">
      <c r="A33" s="31"/>
      <c r="B33" s="32" t="str">
        <f aca="false">IF(A33="","",A33)</f>
        <v/>
      </c>
      <c r="C33" s="33"/>
      <c r="D33" s="34"/>
    </row>
    <row r="34" customFormat="false" ht="15" hidden="false" customHeight="false" outlineLevel="0" collapsed="false">
      <c r="A34" s="31"/>
      <c r="B34" s="32" t="str">
        <f aca="false">IF(A34="","",A34)</f>
        <v/>
      </c>
      <c r="C34" s="33"/>
      <c r="D34" s="34"/>
    </row>
    <row r="35" customFormat="false" ht="15" hidden="false" customHeight="false" outlineLevel="0" collapsed="false">
      <c r="A35" s="31"/>
      <c r="B35" s="32" t="str">
        <f aca="false">IF(A35="","",A35)</f>
        <v/>
      </c>
      <c r="C35" s="33"/>
      <c r="D35" s="34"/>
    </row>
    <row r="36" customFormat="false" ht="15" hidden="false" customHeight="false" outlineLevel="0" collapsed="false">
      <c r="A36" s="31"/>
      <c r="B36" s="32" t="str">
        <f aca="false">IF(A36="","",A36)</f>
        <v/>
      </c>
      <c r="C36" s="33"/>
      <c r="D36" s="34"/>
    </row>
    <row r="37" customFormat="false" ht="15" hidden="false" customHeight="false" outlineLevel="0" collapsed="false">
      <c r="A37" s="31"/>
      <c r="B37" s="32" t="str">
        <f aca="false">IF(A37="","",A37)</f>
        <v/>
      </c>
      <c r="C37" s="33"/>
      <c r="D37" s="34"/>
    </row>
    <row r="38" customFormat="false" ht="15" hidden="false" customHeight="false" outlineLevel="0" collapsed="false">
      <c r="A38" s="31"/>
      <c r="B38" s="32" t="str">
        <f aca="false">IF(A38="","",A38)</f>
        <v/>
      </c>
      <c r="C38" s="33"/>
      <c r="D38" s="34"/>
    </row>
    <row r="39" customFormat="false" ht="15" hidden="false" customHeight="false" outlineLevel="0" collapsed="false">
      <c r="A39" s="31"/>
      <c r="B39" s="32" t="str">
        <f aca="false">IF(A39="","",A39)</f>
        <v/>
      </c>
      <c r="C39" s="33"/>
      <c r="D39" s="34"/>
    </row>
    <row r="40" customFormat="false" ht="15" hidden="false" customHeight="false" outlineLevel="0" collapsed="false">
      <c r="A40" s="31"/>
      <c r="B40" s="32" t="str">
        <f aca="false">IF(A40="","",A40)</f>
        <v/>
      </c>
      <c r="C40" s="33"/>
      <c r="D40" s="34"/>
    </row>
    <row r="41" customFormat="false" ht="15" hidden="false" customHeight="false" outlineLevel="0" collapsed="false">
      <c r="A41" s="31"/>
      <c r="B41" s="32" t="str">
        <f aca="false">IF(A41="","",A41)</f>
        <v/>
      </c>
      <c r="C41" s="33"/>
      <c r="D41" s="34"/>
    </row>
    <row r="42" customFormat="false" ht="15" hidden="false" customHeight="false" outlineLevel="0" collapsed="false">
      <c r="A42" s="31"/>
      <c r="B42" s="32" t="str">
        <f aca="false">IF(A42="","",A42)</f>
        <v/>
      </c>
      <c r="C42" s="33"/>
      <c r="D42" s="34"/>
    </row>
    <row r="43" customFormat="false" ht="15" hidden="false" customHeight="false" outlineLevel="0" collapsed="false">
      <c r="A43" s="31"/>
      <c r="B43" s="32" t="str">
        <f aca="false">IF(A43="","",A43)</f>
        <v/>
      </c>
      <c r="C43" s="33"/>
      <c r="D43" s="34"/>
    </row>
    <row r="44" customFormat="false" ht="15" hidden="false" customHeight="false" outlineLevel="0" collapsed="false">
      <c r="A44" s="31"/>
      <c r="B44" s="32" t="str">
        <f aca="false">IF(A44="","",A44)</f>
        <v/>
      </c>
      <c r="C44" s="33"/>
      <c r="D44" s="34"/>
    </row>
    <row r="45" customFormat="false" ht="15" hidden="false" customHeight="false" outlineLevel="0" collapsed="false">
      <c r="A45" s="31"/>
      <c r="B45" s="32" t="str">
        <f aca="false">IF(A45="","",A45)</f>
        <v/>
      </c>
      <c r="C45" s="33"/>
      <c r="D45" s="34"/>
    </row>
    <row r="46" customFormat="false" ht="15" hidden="false" customHeight="false" outlineLevel="0" collapsed="false">
      <c r="A46" s="31"/>
      <c r="B46" s="32" t="str">
        <f aca="false">IF(A46="","",A46)</f>
        <v/>
      </c>
      <c r="C46" s="33"/>
      <c r="D46" s="34"/>
    </row>
    <row r="47" customFormat="false" ht="15" hidden="false" customHeight="false" outlineLevel="0" collapsed="false">
      <c r="A47" s="31"/>
      <c r="B47" s="32" t="str">
        <f aca="false">IF(A47="","",A47)</f>
        <v/>
      </c>
      <c r="C47" s="33"/>
      <c r="D47" s="34"/>
    </row>
    <row r="48" customFormat="false" ht="15" hidden="false" customHeight="false" outlineLevel="0" collapsed="false">
      <c r="A48" s="31"/>
      <c r="B48" s="32" t="str">
        <f aca="false">IF(A48="","",A48)</f>
        <v/>
      </c>
      <c r="C48" s="33"/>
      <c r="D48" s="34"/>
    </row>
    <row r="49" customFormat="false" ht="15" hidden="false" customHeight="false" outlineLevel="0" collapsed="false">
      <c r="A49" s="31"/>
      <c r="B49" s="32" t="str">
        <f aca="false">IF(A49="","",A49)</f>
        <v/>
      </c>
      <c r="C49" s="33"/>
      <c r="D49" s="34"/>
    </row>
    <row r="50" customFormat="false" ht="15" hidden="false" customHeight="false" outlineLevel="0" collapsed="false">
      <c r="A50" s="31"/>
      <c r="B50" s="32" t="str">
        <f aca="false">IF(A50="","",A50)</f>
        <v/>
      </c>
      <c r="C50" s="33"/>
      <c r="D50" s="34"/>
    </row>
    <row r="51" customFormat="false" ht="15" hidden="false" customHeight="false" outlineLevel="0" collapsed="false">
      <c r="A51" s="31"/>
      <c r="B51" s="32" t="str">
        <f aca="false">IF(A51="","",A51)</f>
        <v/>
      </c>
      <c r="C51" s="33"/>
      <c r="D51" s="34"/>
    </row>
    <row r="52" customFormat="false" ht="15" hidden="false" customHeight="false" outlineLevel="0" collapsed="false">
      <c r="A52" s="31"/>
      <c r="B52" s="32" t="str">
        <f aca="false">IF(A52="","",A52)</f>
        <v/>
      </c>
      <c r="C52" s="33"/>
      <c r="D52" s="34"/>
    </row>
    <row r="53" customFormat="false" ht="15" hidden="false" customHeight="false" outlineLevel="0" collapsed="false">
      <c r="A53" s="31"/>
      <c r="B53" s="32" t="str">
        <f aca="false">IF(A53="","",A53)</f>
        <v/>
      </c>
      <c r="C53" s="33"/>
      <c r="D53" s="34"/>
    </row>
    <row r="54" customFormat="false" ht="15" hidden="false" customHeight="false" outlineLevel="0" collapsed="false">
      <c r="A54" s="31"/>
      <c r="B54" s="32" t="str">
        <f aca="false">IF(A54="","",A54)</f>
        <v/>
      </c>
      <c r="C54" s="33"/>
      <c r="D54" s="34"/>
    </row>
    <row r="55" customFormat="false" ht="15" hidden="false" customHeight="false" outlineLevel="0" collapsed="false">
      <c r="A55" s="31"/>
      <c r="B55" s="32" t="str">
        <f aca="false">IF(A55="","",A55)</f>
        <v/>
      </c>
      <c r="C55" s="33"/>
      <c r="D55" s="34"/>
    </row>
    <row r="56" customFormat="false" ht="15" hidden="false" customHeight="false" outlineLevel="0" collapsed="false">
      <c r="A56" s="31"/>
      <c r="B56" s="32" t="str">
        <f aca="false">IF(A56="","",A56)</f>
        <v/>
      </c>
      <c r="C56" s="33"/>
      <c r="D56" s="34"/>
    </row>
    <row r="57" customFormat="false" ht="15" hidden="false" customHeight="false" outlineLevel="0" collapsed="false">
      <c r="A57" s="31"/>
      <c r="B57" s="32" t="str">
        <f aca="false">IF(A57="","",A57)</f>
        <v/>
      </c>
      <c r="C57" s="33"/>
      <c r="D57" s="34"/>
    </row>
    <row r="58" customFormat="false" ht="15" hidden="false" customHeight="false" outlineLevel="0" collapsed="false">
      <c r="A58" s="31"/>
      <c r="B58" s="32" t="str">
        <f aca="false">IF(A58="","",A58)</f>
        <v/>
      </c>
      <c r="C58" s="33"/>
      <c r="D58" s="34"/>
    </row>
    <row r="59" customFormat="false" ht="15" hidden="false" customHeight="false" outlineLevel="0" collapsed="false">
      <c r="A59" s="31"/>
      <c r="B59" s="32" t="str">
        <f aca="false">IF(A59="","",A59)</f>
        <v/>
      </c>
      <c r="C59" s="33"/>
      <c r="D59" s="34"/>
    </row>
    <row r="60" customFormat="false" ht="15" hidden="false" customHeight="false" outlineLevel="0" collapsed="false">
      <c r="A60" s="31"/>
      <c r="B60" s="32" t="str">
        <f aca="false">IF(A60="","",A60)</f>
        <v/>
      </c>
      <c r="C60" s="33"/>
      <c r="D60" s="34"/>
    </row>
    <row r="61" customFormat="false" ht="15" hidden="false" customHeight="false" outlineLevel="0" collapsed="false">
      <c r="A61" s="31"/>
      <c r="B61" s="32" t="str">
        <f aca="false">IF(A61="","",A61)</f>
        <v/>
      </c>
      <c r="C61" s="33"/>
      <c r="D61" s="34"/>
    </row>
    <row r="62" customFormat="false" ht="15" hidden="false" customHeight="false" outlineLevel="0" collapsed="false">
      <c r="A62" s="31"/>
      <c r="B62" s="32" t="str">
        <f aca="false">IF(A62="","",A62)</f>
        <v/>
      </c>
      <c r="C62" s="33"/>
      <c r="D62" s="34"/>
    </row>
    <row r="63" customFormat="false" ht="15" hidden="false" customHeight="false" outlineLevel="0" collapsed="false">
      <c r="A63" s="31"/>
      <c r="B63" s="32" t="str">
        <f aca="false">IF(A63="","",A63)</f>
        <v/>
      </c>
      <c r="C63" s="33"/>
      <c r="D63" s="34"/>
    </row>
    <row r="64" customFormat="false" ht="15" hidden="false" customHeight="false" outlineLevel="0" collapsed="false">
      <c r="A64" s="31"/>
      <c r="B64" s="32" t="str">
        <f aca="false">IF(A64="","",A64)</f>
        <v/>
      </c>
      <c r="C64" s="33"/>
      <c r="D64" s="34"/>
    </row>
  </sheetData>
  <mergeCells count="1">
    <mergeCell ref="A2:D2"/>
  </mergeCells>
  <dataValidations count="1">
    <dataValidation allowBlank="true" error="Enter a date, e.g. 26-01-2027." errorStyle="stop" operator="greaterThan" showDropDown="false" showErrorMessage="true" showInputMessage="false" sqref="A5:A64" type="dat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35" t="s">
        <v>51</v>
      </c>
    </row>
    <row r="2" customFormat="false" ht="15" hidden="false" customHeight="false" outlineLevel="0" collapsed="false">
      <c r="A2" s="36"/>
    </row>
    <row r="3" customFormat="false" ht="15" hidden="false" customHeight="false" outlineLevel="0" collapsed="false">
      <c r="A3" s="37" t="s">
        <v>52</v>
      </c>
    </row>
    <row r="4" customFormat="false" ht="15" hidden="false" customHeight="false" outlineLevel="0" collapsed="false">
      <c r="A4" s="38" t="s">
        <v>53</v>
      </c>
    </row>
    <row r="5" customFormat="false" ht="15" hidden="false" customHeight="false" outlineLevel="0" collapsed="false">
      <c r="A5" s="38" t="s">
        <v>54</v>
      </c>
    </row>
    <row r="6" customFormat="false" ht="15" hidden="false" customHeight="false" outlineLevel="0" collapsed="false">
      <c r="A6" s="38" t="s">
        <v>55</v>
      </c>
    </row>
    <row r="7" customFormat="false" ht="15" hidden="false" customHeight="false" outlineLevel="0" collapsed="false">
      <c r="A7" s="38" t="s">
        <v>56</v>
      </c>
    </row>
    <row r="8" customFormat="false" ht="15" hidden="false" customHeight="false" outlineLevel="0" collapsed="false">
      <c r="A8" s="38" t="s">
        <v>57</v>
      </c>
    </row>
    <row r="9" customFormat="false" ht="15" hidden="false" customHeight="false" outlineLevel="0" collapsed="false">
      <c r="A9" s="36"/>
    </row>
    <row r="10" customFormat="false" ht="15" hidden="false" customHeight="false" outlineLevel="0" collapsed="false">
      <c r="A10" s="39" t="s">
        <v>58</v>
      </c>
    </row>
    <row r="11" customFormat="false" ht="15" hidden="false" customHeight="false" outlineLevel="0" collapsed="false">
      <c r="A11" s="38" t="s">
        <v>59</v>
      </c>
    </row>
    <row r="12" customFormat="false" ht="15" hidden="false" customHeight="false" outlineLevel="0" collapsed="false">
      <c r="A12" s="38" t="s">
        <v>60</v>
      </c>
    </row>
    <row r="13" customFormat="false" ht="15" hidden="false" customHeight="false" outlineLevel="0" collapsed="false">
      <c r="A13" s="38" t="s">
        <v>61</v>
      </c>
    </row>
    <row r="14" customFormat="false" ht="15" hidden="false" customHeight="false" outlineLevel="0" collapsed="false">
      <c r="A14" s="36"/>
    </row>
    <row r="15" customFormat="false" ht="15" hidden="false" customHeight="false" outlineLevel="0" collapsed="false">
      <c r="A15" s="39" t="s">
        <v>62</v>
      </c>
    </row>
    <row r="16" customFormat="false" ht="15" hidden="false" customHeight="false" outlineLevel="0" collapsed="false">
      <c r="A16" s="38" t="s">
        <v>63</v>
      </c>
    </row>
    <row r="17" customFormat="false" ht="15" hidden="false" customHeight="false" outlineLevel="0" collapsed="false">
      <c r="A17" s="38" t="s">
        <v>64</v>
      </c>
    </row>
    <row r="18" customFormat="false" ht="15" hidden="false" customHeight="false" outlineLevel="0" collapsed="false">
      <c r="A18" s="38" t="s">
        <v>65</v>
      </c>
    </row>
    <row r="19" customFormat="false" ht="15" hidden="false" customHeight="false" outlineLevel="0" collapsed="false">
      <c r="A19" s="36"/>
    </row>
    <row r="20" customFormat="false" ht="15" hidden="false" customHeight="false" outlineLevel="0" collapsed="false">
      <c r="A20" s="39" t="s">
        <v>66</v>
      </c>
    </row>
    <row r="21" customFormat="false" ht="15" hidden="false" customHeight="false" outlineLevel="0" collapsed="false">
      <c r="A21" s="38" t="s">
        <v>67</v>
      </c>
    </row>
    <row r="22" customFormat="false" ht="15" hidden="false" customHeight="false" outlineLevel="0" collapsed="false">
      <c r="A22" s="38" t="s">
        <v>68</v>
      </c>
    </row>
    <row r="23" customFormat="false" ht="15" hidden="false" customHeight="false" outlineLevel="0" collapsed="false">
      <c r="A23" s="38" t="s">
        <v>69</v>
      </c>
    </row>
    <row r="24" customFormat="false" ht="15" hidden="false" customHeight="false" outlineLevel="0" collapsed="false">
      <c r="A24" s="38" t="s">
        <v>70</v>
      </c>
    </row>
    <row r="25" customFormat="false" ht="15" hidden="false" customHeight="false" outlineLevel="0" collapsed="false">
      <c r="A25" s="38" t="s">
        <v>71</v>
      </c>
    </row>
    <row r="26" customFormat="false" ht="15" hidden="false" customHeight="false" outlineLevel="0" collapsed="false">
      <c r="A26" s="38" t="s">
        <v>72</v>
      </c>
    </row>
    <row r="27" customFormat="false" ht="15" hidden="false" customHeight="false" outlineLevel="0" collapsed="false">
      <c r="A27" s="38" t="s">
        <v>73</v>
      </c>
    </row>
    <row r="28" customFormat="false" ht="15" hidden="false" customHeight="false" outlineLevel="0" collapsed="false">
      <c r="A28" s="38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2026-10-06T07:57:17Z</dcterms:created>
  <dc:creator>openpyxl</dc:creator>
  <dc:description/>
  <dc:language>en-US</dc:language>
  <cp:lastModifiedBy/>
  <dcterms:modified xsi:type="dcterms:W3CDTF">2026-10-06T07:57:17Z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